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RT\Desktop\"/>
    </mc:Choice>
  </mc:AlternateContent>
  <xr:revisionPtr revIDLastSave="0" documentId="8_{1B47AB4D-F9BF-4A07-83EF-CBD260211F93}" xr6:coauthVersionLast="47" xr6:coauthVersionMax="47" xr10:uidLastSave="{00000000-0000-0000-0000-000000000000}"/>
  <bookViews>
    <workbookView xWindow="-120" yWindow="-120" windowWidth="24240" windowHeight="13140" xr2:uid="{B537B5F4-C5E3-4428-B017-5EEBF87011DB}"/>
  </bookViews>
  <sheets>
    <sheet name="Titanic_Analysis.xlsx" sheetId="1" r:id="rId1"/>
    <sheet name="Dashboard" sheetId="2" r:id="rId2"/>
  </sheets>
  <calcPr calcId="0"/>
</workbook>
</file>

<file path=xl/calcChain.xml><?xml version="1.0" encoding="utf-8"?>
<calcChain xmlns="http://schemas.openxmlformats.org/spreadsheetml/2006/main">
  <c r="P33" i="1" l="1"/>
  <c r="P34" i="1"/>
  <c r="P35" i="1"/>
  <c r="P36" i="1"/>
  <c r="P37" i="1"/>
  <c r="P38" i="1"/>
  <c r="P39" i="1"/>
  <c r="P17" i="1"/>
  <c r="P18" i="1"/>
  <c r="P19" i="1"/>
  <c r="P4" i="1"/>
  <c r="P5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2" i="1"/>
</calcChain>
</file>

<file path=xl/sharedStrings.xml><?xml version="1.0" encoding="utf-8"?>
<sst xmlns="http://schemas.openxmlformats.org/spreadsheetml/2006/main" count="3157" uniqueCount="1256">
  <si>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</si>
  <si>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</si>
  <si>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</si>
  <si>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</si>
  <si>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</si>
  <si>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</si>
  <si>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</si>
  <si>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</si>
  <si>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</si>
  <si>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</si>
  <si>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</si>
  <si>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</si>
  <si>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</si>
  <si>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</si>
  <si>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</si>
  <si>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</si>
  <si>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</si>
  <si>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</si>
  <si>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</si>
  <si>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</si>
  <si>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</si>
  <si>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</si>
  <si>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</si>
  <si>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</si>
  <si>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</si>
  <si>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</si>
  <si>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</si>
  <si>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</si>
  <si>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</si>
  <si>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</si>
  <si>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</si>
  <si>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</si>
  <si>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</si>
  <si>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</si>
  <si>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</si>
  <si>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</si>
  <si>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</si>
  <si>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</si>
  <si>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</si>
  <si>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</si>
  <si>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</si>
  <si>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</si>
  <si>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</si>
  <si>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</si>
  <si>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</si>
  <si>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</si>
  <si>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</si>
  <si>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</si>
  <si>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</si>
  <si>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</si>
  <si>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</si>
  <si>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</si>
  <si>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</si>
  <si>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</si>
  <si>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</si>
  <si>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</si>
  <si>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</si>
  <si>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</si>
  <si>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</si>
  <si>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</si>
  <si>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</si>
  <si>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</si>
  <si>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</si>
  <si>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</si>
  <si>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</si>
  <si>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</si>
  <si>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</si>
  <si>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</si>
  <si>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</si>
  <si>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</si>
  <si>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</si>
  <si>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</si>
  <si>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</si>
  <si>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</si>
  <si>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</si>
  <si>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</si>
  <si>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</si>
  <si>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</si>
  <si>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</si>
  <si>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</si>
  <si>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</si>
  <si>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</si>
  <si>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</si>
  <si>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</si>
  <si>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</si>
  <si>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</si>
  <si>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</si>
  <si>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</si>
  <si>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</si>
  <si>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</si>
  <si>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</si>
  <si>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</si>
  <si>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</si>
  <si>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</si>
  <si>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</si>
  <si>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</si>
  <si>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</si>
  <si>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</si>
  <si>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</si>
  <si>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</si>
  <si>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</si>
  <si>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</si>
  <si>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</si>
  <si>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</si>
  <si>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</si>
  <si>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</si>
  <si>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</si>
  <si>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</si>
  <si>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</si>
  <si>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</si>
  <si>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</si>
  <si>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</si>
  <si>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</si>
  <si>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</si>
  <si>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</si>
  <si>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</si>
  <si>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</si>
  <si>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</si>
  <si>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</si>
  <si>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</si>
  <si>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</si>
  <si>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</si>
  <si>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</si>
  <si>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</si>
  <si>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</si>
  <si>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</si>
  <si>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</si>
  <si>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</si>
  <si>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</si>
  <si>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</si>
  <si>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</si>
  <si>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</si>
  <si>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</si>
  <si>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</si>
  <si>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</si>
  <si>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</si>
  <si>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</si>
  <si>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</si>
  <si>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</si>
  <si>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</si>
  <si>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</si>
  <si>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</si>
  <si>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</si>
  <si>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</si>
  <si>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</si>
  <si>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</si>
  <si>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</si>
  <si>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</si>
  <si>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</si>
  <si>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</si>
  <si>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</si>
  <si>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</si>
  <si>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</si>
  <si>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</si>
  <si>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</si>
  <si>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</si>
  <si>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</si>
  <si>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</si>
  <si>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</si>
  <si>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</si>
  <si>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</si>
  <si>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</si>
  <si>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</si>
  <si>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</si>
  <si>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</si>
  <si>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</si>
  <si>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</si>
  <si>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</si>
  <si>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</si>
  <si>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</si>
  <si>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</si>
  <si>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</si>
  <si>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</si>
  <si>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</si>
  <si>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</si>
  <si>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</si>
  <si>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</si>
  <si>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</si>
  <si>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</si>
  <si>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</si>
  <si>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</si>
  <si>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</si>
  <si>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</si>
  <si>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</si>
  <si>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</si>
  <si>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</si>
  <si>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</si>
  <si>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</si>
  <si>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</si>
  <si>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</si>
  <si>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</si>
  <si>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</si>
  <si>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</si>
  <si>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</si>
  <si>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</si>
  <si>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</si>
  <si>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</si>
  <si>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</si>
  <si>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</si>
  <si>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</si>
  <si>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</si>
  <si>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</si>
  <si>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</si>
  <si>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</si>
  <si>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</si>
  <si>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</si>
  <si>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</si>
  <si>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</si>
  <si>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</si>
  <si>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</si>
  <si>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</si>
  <si>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</si>
  <si>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</si>
  <si>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</si>
  <si>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</si>
  <si>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</si>
  <si>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</si>
  <si>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</si>
  <si>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</si>
  <si>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</si>
  <si>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</si>
  <si>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</si>
  <si>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</si>
  <si>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</si>
  <si>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</si>
  <si>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</si>
  <si>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</si>
  <si>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</si>
  <si>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</si>
  <si>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</si>
  <si>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</si>
  <si>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</si>
  <si>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</si>
  <si>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</si>
  <si>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</si>
  <si>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</si>
  <si>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</si>
  <si>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</si>
  <si>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</si>
  <si>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</si>
  <si>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</si>
  <si>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</si>
  <si>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</si>
  <si>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</si>
  <si>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</si>
  <si>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</si>
  <si>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</si>
  <si>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</si>
  <si>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</si>
  <si>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</si>
  <si>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</si>
  <si>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</si>
  <si>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</si>
  <si>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</si>
  <si>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</si>
  <si>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</si>
  <si>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</si>
  <si>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</si>
  <si>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</si>
  <si>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</si>
  <si>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</si>
  <si>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</si>
  <si>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</si>
  <si>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</si>
  <si>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</si>
  <si>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</si>
  <si>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</si>
  <si>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</si>
  <si>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</si>
  <si>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</si>
  <si>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</si>
  <si>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</si>
  <si>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</si>
  <si>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</si>
  <si>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</si>
  <si>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</si>
  <si>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</si>
  <si>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</si>
  <si>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</si>
  <si>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</si>
  <si>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</si>
  <si>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</si>
  <si>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</si>
  <si>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</si>
  <si>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</si>
  <si>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</si>
  <si>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</si>
  <si>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</si>
  <si>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</si>
  <si>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</si>
  <si>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</si>
  <si>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</si>
  <si>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</si>
  <si>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</si>
  <si>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</si>
  <si>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</si>
  <si>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</si>
  <si>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</si>
  <si>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</si>
  <si>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</si>
  <si>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</si>
  <si>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</si>
  <si>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</si>
  <si>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</si>
  <si>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</si>
  <si>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</si>
  <si>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</si>
  <si>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</si>
  <si>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</si>
  <si>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</si>
  <si>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</si>
  <si>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</si>
  <si>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</si>
  <si>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</si>
  <si>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</si>
  <si>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</si>
  <si>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</si>
  <si>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</si>
  <si>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</si>
  <si>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</si>
  <si>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</si>
  <si>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</si>
  <si>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</si>
  <si>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</si>
  <si>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</si>
  <si>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</si>
  <si>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</si>
  <si>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</si>
  <si>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</si>
  <si>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</si>
  <si>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</si>
  <si>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</si>
  <si>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</si>
  <si>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</si>
  <si>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</si>
  <si>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</si>
  <si>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</si>
  <si>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</si>
  <si>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</si>
  <si>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</si>
  <si>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</si>
  <si>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</si>
  <si>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</si>
  <si>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</si>
  <si>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</si>
  <si>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</si>
  <si>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</si>
  <si>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</si>
  <si>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</si>
  <si>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</si>
  <si>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</si>
  <si>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</si>
  <si>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</si>
  <si>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</si>
  <si>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</si>
  <si>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</si>
  <si>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</si>
  <si>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</si>
  <si>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</si>
  <si>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</si>
  <si>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</si>
  <si>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</si>
  <si>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</si>
  <si>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</si>
  <si>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</si>
  <si>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</si>
  <si>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</si>
  <si>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</si>
  <si>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</si>
  <si>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</si>
  <si>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</si>
  <si>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</si>
  <si>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</si>
  <si>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</si>
  <si>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</si>
  <si>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</si>
  <si>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</si>
  <si>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</si>
  <si>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</si>
  <si>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</si>
  <si>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</si>
  <si>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</si>
  <si>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</si>
  <si>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</si>
  <si>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</si>
  <si>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</si>
  <si>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</si>
  <si>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</si>
  <si>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</si>
  <si>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</si>
  <si>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</si>
  <si>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</si>
  <si>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</si>
  <si>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</si>
  <si>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</si>
  <si>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</si>
  <si>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</si>
  <si>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</si>
  <si>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</si>
  <si>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</si>
  <si>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</si>
  <si>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</si>
  <si>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</si>
  <si>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</si>
  <si>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</si>
  <si>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</si>
  <si>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</si>
  <si>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</si>
  <si>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</si>
  <si>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</si>
  <si>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</si>
  <si>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</si>
  <si>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</si>
  <si>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</si>
  <si>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</si>
  <si>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</si>
  <si>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</si>
  <si>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</si>
  <si>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</si>
  <si>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</si>
  <si>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</si>
  <si>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</si>
  <si>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</si>
  <si>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</si>
  <si>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</si>
  <si>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</si>
  <si>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</si>
  <si>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</si>
  <si>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</si>
  <si>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</si>
  <si>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</si>
  <si>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</si>
  <si>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</si>
  <si>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</si>
  <si>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</si>
  <si>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</si>
  <si>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</si>
  <si>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</si>
  <si>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</si>
  <si>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</si>
  <si>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</si>
  <si>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</si>
  <si>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</si>
  <si>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</si>
  <si>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</si>
  <si>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</si>
  <si>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</si>
  <si>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</si>
  <si>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</si>
  <si>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</si>
  <si>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</si>
  <si>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</si>
  <si>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</si>
  <si>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</si>
  <si>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</si>
  <si>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</si>
  <si>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</si>
  <si>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</si>
  <si>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</si>
  <si>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</si>
  <si>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</si>
  <si>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</si>
  <si>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</si>
  <si>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</si>
  <si>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</si>
  <si>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</si>
  <si>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</si>
  <si>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</si>
  <si>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</si>
  <si>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</si>
  <si>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</si>
  <si>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</si>
  <si>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</si>
  <si>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</si>
  <si>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</si>
  <si>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</si>
  <si>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</si>
  <si>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</si>
  <si>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</si>
  <si>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</si>
  <si>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</si>
  <si>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</si>
  <si>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</si>
  <si>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</si>
  <si>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</si>
  <si>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</si>
  <si>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</si>
  <si>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</si>
  <si>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</si>
  <si>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</si>
  <si>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</si>
  <si>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</si>
  <si>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</si>
  <si>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</si>
  <si>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</si>
  <si>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</si>
  <si>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</si>
  <si>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</si>
  <si>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</si>
  <si>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</si>
  <si>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</si>
  <si>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</si>
  <si>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</si>
  <si>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</si>
  <si>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</si>
  <si>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</si>
  <si>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</si>
  <si>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</si>
  <si>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</si>
  <si>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</si>
  <si>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</si>
  <si>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</si>
  <si>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</si>
  <si>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</si>
  <si>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</si>
  <si>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</si>
  <si>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</si>
  <si>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</si>
  <si>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</si>
  <si>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</si>
  <si>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</si>
  <si>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</si>
  <si>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</si>
  <si>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</si>
  <si>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</si>
  <si>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</si>
  <si>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</si>
  <si>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</si>
  <si>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</si>
  <si>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</si>
  <si>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</si>
  <si>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</si>
  <si>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</si>
  <si>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</si>
  <si>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</si>
  <si>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</si>
  <si>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</si>
  <si>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</si>
  <si>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</si>
  <si>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</si>
  <si>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</si>
  <si>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</si>
  <si>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</si>
  <si>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</si>
  <si>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</si>
  <si>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</si>
  <si>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</si>
  <si>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</si>
  <si>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</si>
  <si>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</si>
  <si>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</si>
  <si>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</si>
  <si>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</si>
  <si>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</si>
  <si>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</si>
  <si>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</si>
  <si>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</si>
  <si>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</si>
  <si>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</si>
  <si>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</si>
  <si>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</si>
  <si>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</si>
  <si>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</si>
  <si>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</si>
  <si>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</si>
  <si>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</si>
  <si>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</si>
  <si>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</si>
  <si>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</si>
  <si>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</si>
  <si>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</si>
  <si>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</si>
  <si>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</si>
  <si>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</si>
  <si>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</si>
  <si>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</si>
  <si>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</si>
  <si>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</si>
  <si>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</si>
  <si>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</si>
  <si>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</si>
  <si>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</si>
  <si>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</si>
  <si>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</si>
  <si>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</si>
  <si>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</si>
  <si>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</si>
  <si>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</si>
  <si>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</si>
  <si>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</si>
  <si>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</si>
  <si>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</si>
  <si>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</si>
  <si>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</si>
  <si>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</si>
  <si>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</si>
  <si>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</si>
  <si>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</si>
  <si>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</si>
  <si>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</si>
  <si>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</si>
  <si>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</si>
  <si>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</si>
  <si>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</si>
  <si>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</si>
  <si>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</si>
  <si>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</si>
  <si>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</si>
  <si>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</si>
  <si>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</si>
  <si>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</si>
  <si>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</si>
  <si>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</si>
  <si>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</si>
  <si>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</si>
  <si>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</si>
  <si>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</si>
  <si>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</si>
  <si>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</si>
  <si>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</si>
  <si>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</si>
  <si>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</si>
  <si>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</si>
  <si>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</si>
  <si>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</si>
  <si>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</si>
  <si>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</si>
  <si>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</si>
  <si>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</si>
  <si>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</si>
  <si>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</si>
  <si>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</si>
  <si>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</si>
  <si>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</si>
  <si>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</si>
  <si>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</si>
  <si>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</si>
  <si>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</si>
  <si>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</si>
  <si>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</si>
  <si>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</si>
  <si>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</si>
  <si>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</si>
  <si>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</si>
  <si>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</si>
  <si>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</si>
  <si>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</si>
  <si>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</si>
  <si>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</si>
  <si>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</si>
  <si>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</si>
  <si>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</si>
  <si>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</si>
  <si>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</si>
  <si>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</si>
  <si>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</si>
  <si>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</si>
  <si>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</si>
  <si>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</si>
  <si>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</si>
  <si>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</si>
  <si>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</si>
  <si>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</si>
  <si>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</si>
  <si>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</si>
  <si>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</si>
  <si>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</si>
  <si>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</si>
  <si>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</si>
  <si>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</si>
  <si>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</si>
  <si>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</si>
  <si>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</si>
  <si>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</si>
  <si>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</si>
  <si>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</si>
  <si>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</si>
  <si>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</si>
  <si>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</si>
  <si>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</si>
  <si>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</si>
  <si>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</si>
  <si>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</si>
  <si>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</si>
  <si>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</si>
  <si>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</si>
  <si>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</si>
  <si>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</si>
  <si>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</si>
  <si>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</si>
  <si>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</si>
  <si>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</si>
  <si>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</si>
  <si>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</si>
  <si>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</si>
  <si>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</si>
  <si>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</si>
  <si>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</si>
  <si>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</si>
  <si>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</si>
  <si>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</si>
  <si>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</si>
  <si>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</si>
  <si>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</si>
  <si>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</si>
  <si>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</si>
  <si>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</si>
  <si>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</si>
  <si>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</si>
  <si>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</si>
  <si>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</si>
  <si>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</si>
  <si>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</si>
  <si>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</si>
  <si>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</si>
  <si>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</si>
  <si>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</si>
  <si>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</si>
  <si>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</si>
  <si>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</si>
  <si>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</si>
  <si>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</si>
  <si>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</si>
  <si>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</si>
  <si>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</si>
  <si>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</si>
  <si>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</si>
  <si>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</si>
  <si>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</si>
  <si>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</si>
  <si>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</si>
  <si>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</si>
  <si>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</si>
  <si>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</si>
  <si>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</si>
  <si>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</si>
  <si>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</si>
  <si>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</si>
  <si>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</si>
  <si>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</si>
  <si>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</si>
  <si>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</si>
  <si>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</si>
  <si>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</si>
  <si>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</si>
  <si>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</si>
  <si>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</si>
  <si>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</si>
  <si>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</si>
  <si>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</si>
  <si>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</si>
  <si>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</si>
  <si>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</si>
  <si>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</si>
  <si>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</si>
  <si>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</si>
  <si>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</si>
  <si>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</si>
  <si>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</si>
  <si>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</si>
  <si>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</si>
  <si>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</si>
  <si>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</si>
  <si>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</si>
  <si>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</si>
  <si>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</si>
  <si>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</si>
  <si>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</si>
  <si>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</si>
  <si>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</si>
  <si>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</si>
  <si>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</si>
  <si>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</si>
  <si>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</si>
  <si>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</si>
  <si>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</si>
  <si>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</si>
  <si>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</si>
  <si>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</si>
  <si>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</si>
  <si>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</si>
  <si>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</si>
  <si>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</si>
  <si>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</si>
  <si>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</si>
  <si>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</si>
  <si>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</si>
  <si>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</si>
  <si>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</si>
  <si>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</si>
  <si>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</si>
  <si>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</si>
  <si>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</si>
  <si>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</si>
  <si>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</si>
  <si>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</si>
  <si>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</si>
  <si>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</si>
  <si>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</si>
  <si>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</si>
  <si>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</si>
  <si>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</si>
  <si>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</si>
  <si>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</si>
  <si>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</si>
  <si>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</si>
  <si>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</si>
  <si>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</si>
  <si>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</si>
  <si>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</si>
  <si>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</si>
  <si>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</si>
  <si>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</si>
  <si>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</si>
  <si>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</si>
  <si>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</si>
  <si>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</si>
  <si>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</si>
  <si>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</si>
  <si>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</si>
  <si>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</si>
  <si>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</si>
  <si>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</si>
  <si>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</si>
  <si>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</si>
  <si>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</si>
  <si>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</si>
  <si>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</si>
  <si>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</si>
  <si>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</si>
  <si>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</si>
  <si>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</si>
  <si>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</si>
  <si>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</si>
  <si>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</si>
  <si>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</si>
  <si>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</si>
  <si>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</si>
  <si>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</si>
  <si>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</si>
  <si>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</si>
  <si>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</si>
  <si>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</si>
  <si>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</si>
  <si>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</si>
  <si>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</si>
  <si>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</si>
  <si>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</si>
  <si>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</si>
  <si>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</si>
  <si>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</si>
  <si>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</si>
  <si>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</si>
  <si>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</si>
  <si>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</si>
  <si>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</si>
  <si>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</si>
  <si>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</si>
  <si>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</si>
  <si>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</si>
  <si>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</si>
  <si>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</si>
  <si>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</si>
  <si>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</si>
  <si>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</si>
  <si>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</si>
  <si>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</si>
  <si>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</si>
  <si>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</si>
  <si>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</si>
  <si>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</si>
  <si>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</si>
  <si>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</si>
  <si>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</si>
  <si>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</si>
  <si>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</si>
  <si>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</si>
  <si>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</si>
  <si>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</si>
  <si>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</si>
  <si>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</si>
  <si>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</si>
  <si>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</si>
  <si>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</si>
  <si>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</si>
  <si>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</si>
  <si>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</si>
  <si>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</si>
  <si>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</si>
  <si>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</si>
  <si>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</si>
  <si>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</si>
  <si>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</si>
  <si>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</si>
  <si>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</si>
  <si>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</si>
  <si>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</si>
  <si>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</si>
  <si>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</si>
  <si>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</si>
  <si>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</si>
  <si>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</si>
  <si>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</si>
  <si>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</si>
  <si>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</si>
  <si>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</si>
  <si>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</si>
  <si>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</si>
  <si>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</si>
  <si>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</si>
  <si>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</si>
  <si>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</si>
  <si>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</si>
  <si>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</si>
  <si>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</si>
  <si>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</si>
  <si>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</si>
  <si>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</si>
  <si>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</si>
  <si>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</si>
  <si>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</si>
  <si>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</si>
  <si>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</si>
  <si>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</si>
  <si>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</si>
  <si>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</si>
  <si>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</si>
  <si>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</si>
  <si>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</si>
  <si>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</si>
  <si>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</si>
  <si>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</si>
  <si>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</si>
  <si>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</si>
  <si>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</si>
  <si>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</si>
  <si>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</si>
  <si>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</si>
  <si>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</si>
  <si>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</si>
  <si>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</si>
  <si>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</si>
  <si>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</si>
  <si>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</si>
  <si>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</si>
  <si>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</si>
  <si>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</si>
  <si>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</si>
  <si>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</si>
  <si>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</si>
  <si>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</si>
  <si>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</si>
  <si>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</si>
  <si>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</si>
  <si>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</si>
  <si>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</si>
  <si>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</si>
  <si>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</si>
  <si>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</si>
  <si>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</si>
  <si>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</si>
  <si>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</si>
  <si>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</si>
  <si>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</si>
  <si>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</si>
  <si>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</si>
  <si>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</si>
  <si>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</si>
  <si>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</si>
  <si>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</si>
  <si>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</si>
  <si>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</si>
  <si>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</si>
  <si>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</si>
  <si>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</si>
  <si>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</si>
  <si>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</si>
  <si>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</si>
  <si>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</si>
  <si>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</si>
  <si>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</si>
  <si>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</si>
  <si>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</si>
  <si>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</si>
  <si>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</si>
  <si>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</si>
  <si>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</si>
  <si>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</si>
  <si>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</si>
  <si>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</si>
  <si>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</si>
  <si>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</si>
  <si>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</si>
  <si>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</si>
  <si>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</si>
  <si>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</si>
  <si>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</si>
  <si>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</si>
  <si>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</si>
  <si>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</si>
  <si>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</si>
  <si>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</si>
  <si>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</si>
  <si>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</si>
  <si>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</si>
  <si>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</si>
  <si>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</si>
  <si>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</si>
  <si>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</si>
  <si>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</si>
  <si>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</si>
  <si>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</si>
  <si>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</si>
  <si>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</si>
  <si>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</si>
  <si>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</si>
  <si>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</si>
  <si>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</si>
  <si>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</si>
  <si>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</si>
  <si>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</si>
  <si>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</si>
  <si>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</si>
  <si>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</si>
  <si>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</si>
  <si>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</si>
  <si>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</si>
  <si>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</si>
  <si>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</si>
  <si>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</si>
  <si>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</si>
  <si>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</si>
  <si>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</si>
  <si>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</si>
  <si>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</si>
  <si>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</si>
  <si>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</si>
  <si>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</si>
  <si>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</si>
  <si>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</si>
  <si>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</si>
  <si>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</si>
  <si>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</si>
  <si>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</si>
  <si>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</si>
  <si>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</si>
  <si>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</si>
  <si>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</si>
  <si>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</si>
  <si>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</si>
  <si>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</si>
  <si>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</si>
  <si>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</si>
  <si>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</si>
  <si>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</si>
  <si>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</si>
  <si>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</si>
  <si>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</si>
  <si>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</si>
  <si>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</si>
  <si>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</si>
  <si>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</si>
  <si>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</si>
  <si>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</si>
  <si>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</si>
  <si>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</si>
  <si>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</si>
  <si>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</si>
  <si>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</si>
  <si>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</si>
  <si>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</si>
  <si>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</si>
  <si>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</si>
  <si>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</si>
  <si>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</si>
  <si>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</si>
  <si>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</si>
  <si>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</si>
  <si>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</si>
  <si>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</si>
  <si>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</si>
  <si>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</si>
  <si>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</si>
  <si>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</si>
  <si>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</si>
  <si>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</si>
  <si>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</si>
  <si>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</si>
  <si>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</si>
  <si>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</si>
  <si>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</si>
  <si>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</si>
  <si>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</si>
  <si>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</si>
  <si>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</si>
  <si>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</si>
  <si>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</si>
  <si>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</si>
  <si>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</si>
  <si>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</si>
  <si>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</si>
  <si>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</si>
  <si>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</si>
  <si>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</si>
  <si>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</si>
  <si>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</si>
  <si>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</si>
  <si>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</si>
  <si>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</si>
  <si>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</si>
  <si>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</si>
  <si>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</si>
  <si>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</si>
  <si>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</si>
  <si>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</si>
  <si>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</si>
  <si>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</si>
  <si>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</si>
  <si>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</si>
  <si>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</si>
  <si>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</si>
  <si>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</si>
  <si>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</si>
  <si>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</si>
  <si>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</si>
  <si>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</si>
  <si>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</si>
  <si>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</si>
  <si>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</si>
  <si>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</si>
  <si>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</si>
  <si>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</si>
  <si>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</si>
  <si>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</si>
  <si>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</si>
  <si>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</si>
  <si>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</si>
  <si>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</si>
  <si>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</si>
  <si>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</si>
  <si>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</si>
  <si>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</si>
  <si>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</si>
  <si>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</si>
  <si>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</si>
  <si>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</si>
  <si>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</si>
  <si>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</si>
  <si>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</si>
  <si>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</si>
  <si>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</si>
  <si>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</si>
  <si>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</si>
  <si>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</si>
  <si>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</si>
  <si>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</si>
  <si>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</si>
  <si>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</si>
  <si>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</si>
  <si>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</si>
  <si>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</si>
  <si>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</si>
  <si>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</si>
  <si>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</si>
  <si>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</si>
  <si>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</si>
  <si>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</si>
  <si>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</si>
  <si>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</si>
  <si>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</si>
  <si>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</si>
  <si>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</si>
  <si>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</si>
  <si>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</si>
  <si>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</si>
  <si>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</si>
  <si>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</si>
  <si>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</si>
  <si>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</si>
  <si>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</si>
  <si>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</si>
  <si>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</si>
  <si>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</si>
  <si>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</si>
  <si>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</si>
  <si>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</si>
  <si>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</si>
  <si>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</si>
  <si>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</si>
  <si>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</si>
  <si>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</si>
  <si>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</si>
  <si>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</si>
  <si>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</si>
  <si>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</si>
  <si>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</si>
  <si>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</si>
  <si>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</si>
  <si>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</si>
  <si>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</si>
  <si>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</si>
  <si>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</si>
  <si>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</si>
  <si>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</si>
  <si>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</si>
  <si>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</si>
  <si>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</si>
  <si>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</si>
  <si>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</si>
  <si>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</si>
  <si>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</si>
  <si>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</si>
  <si>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</si>
  <si>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</si>
  <si>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</si>
  <si>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</si>
  <si>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</si>
  <si>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</si>
  <si>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</si>
  <si>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</si>
  <si>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</si>
  <si>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</si>
  <si>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P</t>
  </si>
  <si>
    <t>Gender</t>
  </si>
  <si>
    <t>Survival Rate</t>
  </si>
  <si>
    <t>Male</t>
  </si>
  <si>
    <t>Female</t>
  </si>
  <si>
    <t>Class</t>
  </si>
  <si>
    <t>1st</t>
  </si>
  <si>
    <t>2nd</t>
  </si>
  <si>
    <t>3rd</t>
  </si>
  <si>
    <t>Age Range</t>
  </si>
  <si>
    <t>Count</t>
  </si>
  <si>
    <t>0-10</t>
  </si>
  <si>
    <t>21-30</t>
  </si>
  <si>
    <t>31-40</t>
  </si>
  <si>
    <t>41-50</t>
  </si>
  <si>
    <t>51-60</t>
  </si>
  <si>
    <t>61+</t>
  </si>
  <si>
    <t>11-20</t>
  </si>
  <si>
    <t>Titanic Data Analysis Dashboard</t>
  </si>
  <si>
    <t>Overall Survival
38.4%</t>
  </si>
  <si>
    <t>Female Survival
74.2%</t>
  </si>
  <si>
    <t>Male Survival
18.9%</t>
  </si>
  <si>
    <t>1st Class Survival
63%</t>
  </si>
  <si>
    <t>2nd Class Survival
47.3%</t>
  </si>
  <si>
    <t>3rd Class Survival
24.2%</t>
  </si>
  <si>
    <t>Key Insights</t>
  </si>
  <si>
    <t>Dataset: Titanic (Kaggle) — 891 Passengers</t>
  </si>
  <si>
    <r>
      <t xml:space="preserve">Overall survival rate was </t>
    </r>
    <r>
      <rPr>
        <b/>
        <sz val="11"/>
        <color theme="1"/>
        <rFont val="Aptos Narrow"/>
        <family val="2"/>
        <scheme val="minor"/>
      </rPr>
      <t>38.4%</t>
    </r>
    <r>
      <rPr>
        <sz val="11"/>
        <color theme="1"/>
        <rFont val="Aptos Narrow"/>
        <family val="2"/>
        <scheme val="minor"/>
      </rPr>
      <t>.</t>
    </r>
  </si>
  <si>
    <t>Female passengers had the highest survival rate.</t>
  </si>
  <si>
    <t>First-class passengers were more likely to survive.</t>
  </si>
  <si>
    <t>Passenger class and gender strongly influenced survival.</t>
  </si>
  <si>
    <t>Tools Used:</t>
  </si>
  <si>
    <t>Microsoft Excel | Pivot Tables | Charts | Descriptive Statistics</t>
  </si>
  <si>
    <r>
      <rPr>
        <b/>
        <sz val="11"/>
        <color theme="1"/>
        <rFont val="Aptos Narrow"/>
        <family val="2"/>
        <scheme val="minor"/>
      </rPr>
      <t xml:space="preserve">Created by </t>
    </r>
    <r>
      <rPr>
        <sz val="11"/>
        <color theme="1"/>
        <rFont val="Aptos Narrow"/>
        <family val="2"/>
        <scheme val="minor"/>
      </rPr>
      <t>:Yasmina Mohsen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</si>
</sst>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2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9" fontId="16" fillId="0" borderId="10" xfId="1" applyFont="1" applyBorder="1" applyAlignment="1">
      <alignment horizontal="center" vertical="center" wrapText="1"/>
    </xf>
    <xf numFmtId="9" fontId="0" fillId="0" borderId="10" xfId="1" applyFont="1" applyBorder="1" applyAlignment="1">
      <alignment vertical="center" wrapText="1"/>
    </xf>
    <xf numFmtId="9" fontId="18" fillId="0" borderId="10" xfId="1" applyFont="1" applyBorder="1" applyAlignment="1">
      <alignment vertical="center" wrapText="1"/>
    </xf>
    <xf numFmtId="16" fontId="0" fillId="0" borderId="10" xfId="0" quotePrefix="1" applyNumberFormat="1" applyBorder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7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6" fillId="0" borderId="0" xfId="0" applyFont="1" applyAlignment="1">
      <alignment wrapText="1"/>
    </xf>
    <xf numFmtId="0" fontId="20" fillId="0" borderId="0" xfId="0" applyFont="1" applyAlignment="1">
      <alignment horizontal="left" vertical="top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 Rate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Titanic_Analysis.xlsx!$P$2:$P$3</c:f>
              <c:strCache>
                <c:ptCount val="2"/>
                <c:pt idx="0">
                  <c:v>Q</c:v>
                </c:pt>
                <c:pt idx="1">
                  <c:v>Survival Rate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Titanic_Analysis.xlsx!$O$4:$O$5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Titanic_Analysis.xlsx!$P$4:$P$5</c:f>
              <c:numCache>
                <c:formatCode>0%</c:formatCode>
                <c:ptCount val="2"/>
                <c:pt idx="0">
                  <c:v>0.18890814558058924</c:v>
                </c:pt>
                <c:pt idx="1">
                  <c:v>0.7420382165605095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9-4E93-B18B-E126FF976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83925168"/>
        <c:axId val="183923248"/>
      </c:barChart>
      <c:catAx>
        <c:axId val="18392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23248"/>
        <c:crosses val="autoZero"/>
        <c:auto val="1"/>
        <c:lblAlgn val="ctr"/>
        <c:lblOffset val="100"/>
        <c:noMultiLvlLbl val="0"/>
      </c:catAx>
      <c:valAx>
        <c:axId val="1839232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2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 Rate by Passenger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Titanic_Analysis.xlsx!$P$15:$P$16</c:f>
              <c:strCache>
                <c:ptCount val="2"/>
                <c:pt idx="0">
                  <c:v>Q</c:v>
                </c:pt>
                <c:pt idx="1">
                  <c:v>Survival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Titanic_Analysis.xlsx!$O$17:$O$19</c:f>
              <c:strCache>
                <c:ptCount val="3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</c:strCache>
            </c:strRef>
          </c:cat>
          <c:val>
            <c:numRef>
              <c:f>Titanic_Analysis.xlsx!$P$17:$P$19</c:f>
              <c:numCache>
                <c:formatCode>0%</c:formatCode>
                <c:ptCount val="3"/>
                <c:pt idx="0">
                  <c:v>0.62962962962962965</c:v>
                </c:pt>
                <c:pt idx="1">
                  <c:v>0.47282608695652173</c:v>
                </c:pt>
                <c:pt idx="2">
                  <c:v>0.24236252545824846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9-47CC-AD9E-EDEE3C191C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4655968"/>
        <c:axId val="324660288"/>
      </c:barChart>
      <c:catAx>
        <c:axId val="32465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660288"/>
        <c:crosses val="autoZero"/>
        <c:auto val="1"/>
        <c:lblAlgn val="ctr"/>
        <c:lblOffset val="100"/>
        <c:noMultiLvlLbl val="0"/>
      </c:catAx>
      <c:valAx>
        <c:axId val="32466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65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 of Passengers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Titanic_Analysis.xlsx!$P$31:$P$32</c:f>
              <c:strCache>
                <c:ptCount val="2"/>
                <c:pt idx="0">
                  <c:v>Q</c:v>
                </c:pt>
                <c:pt idx="1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Titanic_Analysis.xlsx!$O$33:$O$39</c:f>
              <c:strCache>
                <c:ptCount val="7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61+</c:v>
                </c:pt>
              </c:strCache>
            </c:strRef>
          </c:cat>
          <c:val>
            <c:numRef>
              <c:f>Titanic_Analysis.xlsx!$P$33:$P$39</c:f>
              <c:numCache>
                <c:formatCode>General</c:formatCode>
                <c:ptCount val="7"/>
                <c:pt idx="0">
                  <c:v>64</c:v>
                </c:pt>
                <c:pt idx="1">
                  <c:v>115</c:v>
                </c:pt>
                <c:pt idx="2">
                  <c:v>407</c:v>
                </c:pt>
                <c:pt idx="3">
                  <c:v>155</c:v>
                </c:pt>
                <c:pt idx="4">
                  <c:v>86</c:v>
                </c:pt>
                <c:pt idx="5">
                  <c:v>42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0-4520-9209-7905079E3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885184"/>
        <c:axId val="327896224"/>
      </c:barChart>
      <c:catAx>
        <c:axId val="32788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896224"/>
        <c:crosses val="autoZero"/>
        <c:auto val="1"/>
        <c:lblAlgn val="ctr"/>
        <c:lblOffset val="100"/>
        <c:noMultiLvlLbl val="0"/>
      </c:catAx>
      <c:valAx>
        <c:axId val="32789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88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590550</xdr:colOff>
      <xdr:row>0</xdr:row>
      <xdr:rowOff>23812</xdr:rowOff>
    </xdr:from>
    <xdr:to>
      <xdr:col>22</xdr:col>
      <xdr:colOff>228600</xdr:colOff>
      <xdr:row>13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BD7F88-E50E-CBA3-18B8-C54CF319C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590550</xdr:colOff>
      <xdr:row>14</xdr:row>
      <xdr:rowOff>71437</xdr:rowOff>
    </xdr:from>
    <xdr:to>
      <xdr:col>22</xdr:col>
      <xdr:colOff>238125</xdr:colOff>
      <xdr:row>27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61C74C-D0D5-DE18-9E02-CF07B211C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571500</xdr:colOff>
      <xdr:row>28</xdr:row>
      <xdr:rowOff>42862</xdr:rowOff>
    </xdr:from>
    <xdr:to>
      <xdr:col>22</xdr:col>
      <xdr:colOff>247650</xdr:colOff>
      <xdr:row>41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6C36CB-3A04-410A-EA4C-5EE9EA4C5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</xdr:colOff>
      <xdr:row>1</xdr:row>
      <xdr:rowOff>95250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DD46359-7A7A-4A39-81E1-DBB223E4C13F}"/>
            </a:ext>
          </a:extLst>
        </xdr:cNvPr>
        <xdr:cNvSpPr txBox="1"/>
      </xdr:nvSpPr>
      <xdr:spPr>
        <a:xfrm>
          <a:off x="2171700" y="285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0</xdr:col>
      <xdr:colOff>0</xdr:colOff>
      <xdr:row>6</xdr:row>
      <xdr:rowOff>0</xdr:rowOff>
    </xdr:from>
    <xdr:to>
      <xdr:col>4</xdr:col>
      <xdr:colOff>561975</xdr:colOff>
      <xdr:row>21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C9359F-719E-4C0D-83CB-C02B6A16A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52525"/>
          <a:ext cx="3314700" cy="2857500"/>
        </a:xfrm>
        <a:prstGeom prst="rect">
          <a:avLst/>
        </a:prstGeom>
      </xdr:spPr>
    </xdr:pic>
    <xdr:clientData/>
  </xdr:twoCellAnchor>
  <xdr:twoCellAnchor editAs="oneCell">
    <xdr:from>
      <xdr:col>5</xdr:col>
      <xdr:colOff>723900</xdr:colOff>
      <xdr:row>5</xdr:row>
      <xdr:rowOff>180974</xdr:rowOff>
    </xdr:from>
    <xdr:to>
      <xdr:col>11</xdr:col>
      <xdr:colOff>38100</xdr:colOff>
      <xdr:row>21</xdr:row>
      <xdr:rowOff>19049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1C633C6-9656-4A84-98C8-99FDD4912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142999"/>
          <a:ext cx="3495675" cy="288607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17</xdr:col>
      <xdr:colOff>589381</xdr:colOff>
      <xdr:row>21</xdr:row>
      <xdr:rowOff>19050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A4FF02E-F8F6-4DE3-A97A-1849BB352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1152525"/>
          <a:ext cx="3637381" cy="2876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7C5D-F2AF-4B48-8EB2-2AD041AEC131}">
  <dimension ref="A1:P892"/>
  <sheetViews>
    <sheetView tabSelected="1" topLeftCell="A5" workbookViewId="0">
      <selection activeCell="O5" sqref="O5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6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  <c r="M2">
        <f>IF(F2="", 28, F2)</f>
        <v>22</v>
      </c>
      <c r="N2" t="str">
        <f>IF(L2="", "S", L2)</f>
        <v>S</v>
      </c>
      <c r="O2" s="4" t="s">
        <v>1222</v>
      </c>
      <c r="P2" s="4" t="s">
        <v>27</v>
      </c>
    </row>
    <row r="3" spans="1:16" ht="30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  <c r="M3">
        <f t="shared" ref="M3:M66" si="0">IF(F3="", 28, F3)</f>
        <v>38</v>
      </c>
      <c r="N3" t="str">
        <f t="shared" ref="N3:N66" si="1">IF(L3="", "S", L3)</f>
        <v>C</v>
      </c>
      <c r="O3" s="5" t="s">
        <v>1223</v>
      </c>
      <c r="P3" s="5" t="s">
        <v>1224</v>
      </c>
    </row>
    <row r="4" spans="1:16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  <c r="M4">
        <f t="shared" si="0"/>
        <v>26</v>
      </c>
      <c r="N4" t="str">
        <f t="shared" si="1"/>
        <v>S</v>
      </c>
      <c r="O4" s="5" t="s">
        <v>1225</v>
      </c>
      <c r="P4" s="6">
        <f>AVERAGEIF(E2:E892,"male",B2:B892)</f>
        <v>0.18890814558058924</v>
      </c>
    </row>
    <row r="5" spans="1:16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  <c r="M5">
        <f t="shared" si="0"/>
        <v>35</v>
      </c>
      <c r="N5" t="str">
        <f t="shared" si="1"/>
        <v>S</v>
      </c>
      <c r="O5" s="5" t="s">
        <v>1226</v>
      </c>
      <c r="P5" s="6">
        <f>AVERAGEIF(E2:E892,"female",B2:B892)</f>
        <v>0.7420382165605095</v>
      </c>
    </row>
    <row r="6" spans="1:16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  <c r="M6">
        <f t="shared" si="0"/>
        <v>35</v>
      </c>
      <c r="N6" t="str">
        <f t="shared" si="1"/>
        <v>S</v>
      </c>
    </row>
    <row r="7" spans="1:16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  <c r="M7">
        <f t="shared" si="0"/>
        <v>28</v>
      </c>
      <c r="N7" t="str">
        <f t="shared" si="1"/>
        <v>Q</v>
      </c>
    </row>
    <row r="8" spans="1:16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  <c r="M8">
        <f t="shared" si="0"/>
        <v>54</v>
      </c>
      <c r="N8" t="str">
        <f t="shared" si="1"/>
        <v>S</v>
      </c>
    </row>
    <row r="9" spans="1:16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  <c r="M9">
        <f t="shared" si="0"/>
        <v>2</v>
      </c>
      <c r="N9" t="str">
        <f t="shared" si="1"/>
        <v>S</v>
      </c>
    </row>
    <row r="10" spans="1:16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  <c r="M10">
        <f t="shared" si="0"/>
        <v>27</v>
      </c>
      <c r="N10" t="str">
        <f t="shared" si="1"/>
        <v>S</v>
      </c>
    </row>
    <row r="11" spans="1:16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  <c r="M11">
        <f t="shared" si="0"/>
        <v>14</v>
      </c>
      <c r="N11" t="str">
        <f t="shared" si="1"/>
        <v>C</v>
      </c>
    </row>
    <row r="12" spans="1:16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  <c r="M12">
        <f t="shared" si="0"/>
        <v>4</v>
      </c>
      <c r="N12" t="str">
        <f t="shared" si="1"/>
        <v>S</v>
      </c>
    </row>
    <row r="13" spans="1:16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  <c r="M13">
        <f t="shared" si="0"/>
        <v>58</v>
      </c>
      <c r="N13" t="str">
        <f t="shared" si="1"/>
        <v>S</v>
      </c>
    </row>
    <row r="14" spans="1:16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  <c r="M14">
        <f t="shared" si="0"/>
        <v>20</v>
      </c>
      <c r="N14" t="str">
        <f t="shared" si="1"/>
        <v>S</v>
      </c>
    </row>
    <row r="15" spans="1:16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  <c r="M15">
        <f t="shared" si="0"/>
        <v>39</v>
      </c>
      <c r="N15" t="str">
        <f t="shared" si="1"/>
        <v>S</v>
      </c>
      <c r="O15" s="4" t="s">
        <v>1222</v>
      </c>
      <c r="P15" s="4" t="s">
        <v>27</v>
      </c>
    </row>
    <row r="16" spans="1:16" ht="30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  <c r="M16">
        <f t="shared" si="0"/>
        <v>14</v>
      </c>
      <c r="N16" t="str">
        <f t="shared" si="1"/>
        <v>S</v>
      </c>
      <c r="O16" s="5" t="s">
        <v>1227</v>
      </c>
      <c r="P16" s="5" t="s">
        <v>1224</v>
      </c>
    </row>
    <row r="17" spans="1:16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  <c r="M17">
        <f t="shared" si="0"/>
        <v>55</v>
      </c>
      <c r="N17" t="str">
        <f t="shared" si="1"/>
        <v>S</v>
      </c>
      <c r="O17" s="5" t="s">
        <v>1228</v>
      </c>
      <c r="P17" s="6">
        <f>AVERAGEIF(C2:C892,1,B2:B892)</f>
        <v>0.62962962962962965</v>
      </c>
    </row>
    <row r="18" spans="1:16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  <c r="M18">
        <f t="shared" si="0"/>
        <v>2</v>
      </c>
      <c r="N18" t="str">
        <f t="shared" si="1"/>
        <v>Q</v>
      </c>
      <c r="O18" s="5" t="s">
        <v>1229</v>
      </c>
      <c r="P18" s="6">
        <f>AVERAGEIF(C2:C892,2,B2:B892)</f>
        <v>0.47282608695652173</v>
      </c>
    </row>
    <row r="19" spans="1:16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  <c r="M19">
        <f t="shared" si="0"/>
        <v>28</v>
      </c>
      <c r="N19" t="str">
        <f t="shared" si="1"/>
        <v>S</v>
      </c>
      <c r="O19" s="5" t="s">
        <v>1230</v>
      </c>
      <c r="P19" s="6">
        <f>AVERAGEIF(C2:C892,3,B2:B892)</f>
        <v>0.24236252545824846</v>
      </c>
    </row>
    <row r="20" spans="1:16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  <c r="M20">
        <f t="shared" si="0"/>
        <v>31</v>
      </c>
      <c r="N20" t="str">
        <f t="shared" si="1"/>
        <v>S</v>
      </c>
    </row>
    <row r="21" spans="1:16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  <c r="M21">
        <f t="shared" si="0"/>
        <v>28</v>
      </c>
      <c r="N21" t="str">
        <f t="shared" si="1"/>
        <v>C</v>
      </c>
    </row>
    <row r="22" spans="1:16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  <c r="M22">
        <f t="shared" si="0"/>
        <v>35</v>
      </c>
      <c r="N22" t="str">
        <f t="shared" si="1"/>
        <v>S</v>
      </c>
    </row>
    <row r="23" spans="1:16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  <c r="M23">
        <f t="shared" si="0"/>
        <v>34</v>
      </c>
      <c r="N23" t="str">
        <f t="shared" si="1"/>
        <v>S</v>
      </c>
    </row>
    <row r="24" spans="1:16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  <c r="M24">
        <f t="shared" si="0"/>
        <v>15</v>
      </c>
      <c r="N24" t="str">
        <f t="shared" si="1"/>
        <v>Q</v>
      </c>
    </row>
    <row r="25" spans="1:16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  <c r="M25">
        <f t="shared" si="0"/>
        <v>28</v>
      </c>
      <c r="N25" t="str">
        <f t="shared" si="1"/>
        <v>S</v>
      </c>
    </row>
    <row r="26" spans="1:16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  <c r="M26">
        <f t="shared" si="0"/>
        <v>8</v>
      </c>
      <c r="N26" t="str">
        <f t="shared" si="1"/>
        <v>S</v>
      </c>
    </row>
    <row r="27" spans="1:16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  <c r="M27">
        <f t="shared" si="0"/>
        <v>38</v>
      </c>
      <c r="N27" t="str">
        <f t="shared" si="1"/>
        <v>S</v>
      </c>
    </row>
    <row r="28" spans="1:16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  <c r="M28">
        <f t="shared" si="0"/>
        <v>28</v>
      </c>
      <c r="N28" t="str">
        <f t="shared" si="1"/>
        <v>C</v>
      </c>
    </row>
    <row r="29" spans="1:16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  <c r="M29">
        <f t="shared" si="0"/>
        <v>19</v>
      </c>
      <c r="N29" t="str">
        <f t="shared" si="1"/>
        <v>S</v>
      </c>
    </row>
    <row r="30" spans="1:16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  <c r="M30">
        <f t="shared" si="0"/>
        <v>28</v>
      </c>
      <c r="N30" t="str">
        <f t="shared" si="1"/>
        <v>Q</v>
      </c>
    </row>
    <row r="31" spans="1:16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  <c r="M31">
        <f t="shared" si="0"/>
        <v>28</v>
      </c>
      <c r="N31" t="str">
        <f t="shared" si="1"/>
        <v>S</v>
      </c>
      <c r="O31" s="1" t="s">
        <v>1222</v>
      </c>
      <c r="P31" s="1" t="s">
        <v>27</v>
      </c>
    </row>
    <row r="32" spans="1:16" ht="30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  <c r="M32">
        <f t="shared" si="0"/>
        <v>40</v>
      </c>
      <c r="N32" t="str">
        <f t="shared" si="1"/>
        <v>C</v>
      </c>
      <c r="O32" s="2" t="s">
        <v>1231</v>
      </c>
      <c r="P32" s="2" t="s">
        <v>1232</v>
      </c>
    </row>
    <row r="33" spans="1:16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  <c r="M33">
        <f t="shared" si="0"/>
        <v>28</v>
      </c>
      <c r="N33" t="str">
        <f t="shared" si="1"/>
        <v>C</v>
      </c>
      <c r="O33" s="2" t="s">
        <v>1233</v>
      </c>
      <c r="P33" s="3">
        <f>COUNTIFS(M2:M892,"&gt;=0",M2:M892,"&lt;=10")</f>
        <v>64</v>
      </c>
    </row>
    <row r="34" spans="1:16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  <c r="M34">
        <f t="shared" si="0"/>
        <v>28</v>
      </c>
      <c r="N34" t="str">
        <f t="shared" si="1"/>
        <v>Q</v>
      </c>
      <c r="O34" s="7" t="s">
        <v>1239</v>
      </c>
      <c r="P34" s="3">
        <f>COUNTIFS(M2:M892,"&gt;10",M2:M892,"&lt;=20")</f>
        <v>115</v>
      </c>
    </row>
    <row r="35" spans="1:16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  <c r="M35">
        <f t="shared" si="0"/>
        <v>66</v>
      </c>
      <c r="N35" t="str">
        <f t="shared" si="1"/>
        <v>S</v>
      </c>
      <c r="O35" s="2" t="s">
        <v>1234</v>
      </c>
      <c r="P35" s="3">
        <f>COUNTIFS(M2:M892,"&gt;20",M2:M892,"&lt;=30")</f>
        <v>407</v>
      </c>
    </row>
    <row r="36" spans="1:16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  <c r="M36">
        <f t="shared" si="0"/>
        <v>28</v>
      </c>
      <c r="N36" t="str">
        <f t="shared" si="1"/>
        <v>C</v>
      </c>
      <c r="O36" s="2" t="s">
        <v>1235</v>
      </c>
      <c r="P36" s="3">
        <f>COUNTIFS(M2:M892,"&gt;30",M2:M892,"&lt;=40")</f>
        <v>155</v>
      </c>
    </row>
    <row r="37" spans="1:16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  <c r="M37">
        <f t="shared" si="0"/>
        <v>42</v>
      </c>
      <c r="N37" t="str">
        <f t="shared" si="1"/>
        <v>S</v>
      </c>
      <c r="O37" s="2" t="s">
        <v>1236</v>
      </c>
      <c r="P37" s="3">
        <f>COUNTIFS(M2:M892,"&gt;40",M2:M892,"&lt;=50")</f>
        <v>86</v>
      </c>
    </row>
    <row r="38" spans="1:16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  <c r="M38">
        <f t="shared" si="0"/>
        <v>28</v>
      </c>
      <c r="N38" t="str">
        <f t="shared" si="1"/>
        <v>C</v>
      </c>
      <c r="O38" s="2" t="s">
        <v>1237</v>
      </c>
      <c r="P38" s="3">
        <f>COUNTIFS(M2:M892,"&gt;50",M2:M892,"&lt;=60")</f>
        <v>42</v>
      </c>
    </row>
    <row r="39" spans="1:16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  <c r="M39">
        <f t="shared" si="0"/>
        <v>21</v>
      </c>
      <c r="N39" t="str">
        <f t="shared" si="1"/>
        <v>S</v>
      </c>
      <c r="O39" s="2" t="s">
        <v>1238</v>
      </c>
      <c r="P39" s="3">
        <f>COUNTIFS(M2:M892,"&gt;60")</f>
        <v>22</v>
      </c>
    </row>
    <row r="40" spans="1:16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  <c r="M40">
        <f t="shared" si="0"/>
        <v>18</v>
      </c>
      <c r="N40" t="str">
        <f t="shared" si="1"/>
        <v>S</v>
      </c>
    </row>
    <row r="41" spans="1:16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  <c r="M41">
        <f t="shared" si="0"/>
        <v>14</v>
      </c>
      <c r="N41" t="str">
        <f t="shared" si="1"/>
        <v>C</v>
      </c>
    </row>
    <row r="42" spans="1:16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  <c r="M42">
        <f t="shared" si="0"/>
        <v>40</v>
      </c>
      <c r="N42" t="str">
        <f t="shared" si="1"/>
        <v>S</v>
      </c>
    </row>
    <row r="43" spans="1:16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  <c r="M43">
        <f t="shared" si="0"/>
        <v>27</v>
      </c>
      <c r="N43" t="str">
        <f t="shared" si="1"/>
        <v>S</v>
      </c>
    </row>
    <row r="44" spans="1:16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  <c r="M44">
        <f t="shared" si="0"/>
        <v>28</v>
      </c>
      <c r="N44" t="str">
        <f t="shared" si="1"/>
        <v>C</v>
      </c>
    </row>
    <row r="45" spans="1:16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  <c r="M45">
        <f t="shared" si="0"/>
        <v>3</v>
      </c>
      <c r="N45" t="str">
        <f t="shared" si="1"/>
        <v>C</v>
      </c>
    </row>
    <row r="46" spans="1:16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  <c r="M46">
        <f t="shared" si="0"/>
        <v>19</v>
      </c>
      <c r="N46" t="str">
        <f t="shared" si="1"/>
        <v>Q</v>
      </c>
    </row>
    <row r="47" spans="1:16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  <c r="M47">
        <f t="shared" si="0"/>
        <v>28</v>
      </c>
      <c r="N47" t="str">
        <f t="shared" si="1"/>
        <v>S</v>
      </c>
    </row>
    <row r="48" spans="1:16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  <c r="M48">
        <f t="shared" si="0"/>
        <v>28</v>
      </c>
      <c r="N48" t="str">
        <f t="shared" si="1"/>
        <v>Q</v>
      </c>
    </row>
    <row r="49" spans="1:14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  <c r="M49">
        <f t="shared" si="0"/>
        <v>28</v>
      </c>
      <c r="N49" t="str">
        <f t="shared" si="1"/>
        <v>Q</v>
      </c>
    </row>
    <row r="50" spans="1:14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  <c r="M50">
        <f t="shared" si="0"/>
        <v>28</v>
      </c>
      <c r="N50" t="str">
        <f t="shared" si="1"/>
        <v>C</v>
      </c>
    </row>
    <row r="51" spans="1:14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  <c r="M51">
        <f t="shared" si="0"/>
        <v>18</v>
      </c>
      <c r="N51" t="str">
        <f t="shared" si="1"/>
        <v>S</v>
      </c>
    </row>
    <row r="52" spans="1:14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  <c r="M52">
        <f t="shared" si="0"/>
        <v>7</v>
      </c>
      <c r="N52" t="str">
        <f t="shared" si="1"/>
        <v>S</v>
      </c>
    </row>
    <row r="53" spans="1:14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  <c r="M53">
        <f t="shared" si="0"/>
        <v>21</v>
      </c>
      <c r="N53" t="str">
        <f t="shared" si="1"/>
        <v>S</v>
      </c>
    </row>
    <row r="54" spans="1:14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  <c r="M54">
        <f t="shared" si="0"/>
        <v>49</v>
      </c>
      <c r="N54" t="str">
        <f t="shared" si="1"/>
        <v>C</v>
      </c>
    </row>
    <row r="55" spans="1:14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  <c r="M55">
        <f t="shared" si="0"/>
        <v>29</v>
      </c>
      <c r="N55" t="str">
        <f t="shared" si="1"/>
        <v>S</v>
      </c>
    </row>
    <row r="56" spans="1:14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  <c r="M56">
        <f t="shared" si="0"/>
        <v>65</v>
      </c>
      <c r="N56" t="str">
        <f t="shared" si="1"/>
        <v>C</v>
      </c>
    </row>
    <row r="57" spans="1:14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  <c r="M57">
        <f t="shared" si="0"/>
        <v>28</v>
      </c>
      <c r="N57" t="str">
        <f t="shared" si="1"/>
        <v>S</v>
      </c>
    </row>
    <row r="58" spans="1:14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  <c r="M58">
        <f t="shared" si="0"/>
        <v>21</v>
      </c>
      <c r="N58" t="str">
        <f t="shared" si="1"/>
        <v>S</v>
      </c>
    </row>
    <row r="59" spans="1:14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  <c r="M59">
        <f t="shared" si="0"/>
        <v>28.5</v>
      </c>
      <c r="N59" t="str">
        <f t="shared" si="1"/>
        <v>C</v>
      </c>
    </row>
    <row r="60" spans="1:14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  <c r="M60">
        <f t="shared" si="0"/>
        <v>5</v>
      </c>
      <c r="N60" t="str">
        <f t="shared" si="1"/>
        <v>S</v>
      </c>
    </row>
    <row r="61" spans="1:14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  <c r="M61">
        <f t="shared" si="0"/>
        <v>11</v>
      </c>
      <c r="N61" t="str">
        <f t="shared" si="1"/>
        <v>S</v>
      </c>
    </row>
    <row r="62" spans="1:14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  <c r="M62">
        <f t="shared" si="0"/>
        <v>22</v>
      </c>
      <c r="N62" t="str">
        <f t="shared" si="1"/>
        <v>C</v>
      </c>
    </row>
    <row r="63" spans="1:14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  <c r="M63">
        <f t="shared" si="0"/>
        <v>38</v>
      </c>
      <c r="N63" t="str">
        <f t="shared" si="1"/>
        <v>S</v>
      </c>
    </row>
    <row r="64" spans="1:14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  <c r="M64">
        <f t="shared" si="0"/>
        <v>45</v>
      </c>
      <c r="N64" t="str">
        <f t="shared" si="1"/>
        <v>S</v>
      </c>
    </row>
    <row r="65" spans="1:14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  <c r="M65">
        <f t="shared" si="0"/>
        <v>4</v>
      </c>
      <c r="N65" t="str">
        <f t="shared" si="1"/>
        <v>S</v>
      </c>
    </row>
    <row r="66" spans="1:14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  <c r="M66">
        <f t="shared" si="0"/>
        <v>28</v>
      </c>
      <c r="N66" t="str">
        <f t="shared" si="1"/>
        <v>C</v>
      </c>
    </row>
    <row r="67" spans="1:14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  <c r="M67">
        <f t="shared" ref="M67:M130" si="2">IF(F67="", 28, F67)</f>
        <v>28</v>
      </c>
      <c r="N67" t="str">
        <f t="shared" ref="N67:N130" si="3">IF(L67="", "S", L67)</f>
        <v>C</v>
      </c>
    </row>
    <row r="68" spans="1:14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  <c r="M68">
        <f t="shared" si="2"/>
        <v>29</v>
      </c>
      <c r="N68" t="str">
        <f t="shared" si="3"/>
        <v>S</v>
      </c>
    </row>
    <row r="69" spans="1:14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  <c r="M69">
        <f t="shared" si="2"/>
        <v>19</v>
      </c>
      <c r="N69" t="str">
        <f t="shared" si="3"/>
        <v>S</v>
      </c>
    </row>
    <row r="70" spans="1:14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  <c r="M70">
        <f t="shared" si="2"/>
        <v>17</v>
      </c>
      <c r="N70" t="str">
        <f t="shared" si="3"/>
        <v>S</v>
      </c>
    </row>
    <row r="71" spans="1:14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  <c r="M71">
        <f t="shared" si="2"/>
        <v>26</v>
      </c>
      <c r="N71" t="str">
        <f t="shared" si="3"/>
        <v>S</v>
      </c>
    </row>
    <row r="72" spans="1:14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  <c r="M72">
        <f t="shared" si="2"/>
        <v>32</v>
      </c>
      <c r="N72" t="str">
        <f t="shared" si="3"/>
        <v>S</v>
      </c>
    </row>
    <row r="73" spans="1:14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  <c r="M73">
        <f t="shared" si="2"/>
        <v>16</v>
      </c>
      <c r="N73" t="str">
        <f t="shared" si="3"/>
        <v>S</v>
      </c>
    </row>
    <row r="74" spans="1:14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  <c r="M74">
        <f t="shared" si="2"/>
        <v>21</v>
      </c>
      <c r="N74" t="str">
        <f t="shared" si="3"/>
        <v>S</v>
      </c>
    </row>
    <row r="75" spans="1:14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  <c r="M75">
        <f t="shared" si="2"/>
        <v>26</v>
      </c>
      <c r="N75" t="str">
        <f t="shared" si="3"/>
        <v>C</v>
      </c>
    </row>
    <row r="76" spans="1:14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  <c r="M76">
        <f t="shared" si="2"/>
        <v>32</v>
      </c>
      <c r="N76" t="str">
        <f t="shared" si="3"/>
        <v>S</v>
      </c>
    </row>
    <row r="77" spans="1:14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  <c r="M77">
        <f t="shared" si="2"/>
        <v>25</v>
      </c>
      <c r="N77" t="str">
        <f t="shared" si="3"/>
        <v>S</v>
      </c>
    </row>
    <row r="78" spans="1:14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  <c r="M78">
        <f t="shared" si="2"/>
        <v>28</v>
      </c>
      <c r="N78" t="str">
        <f t="shared" si="3"/>
        <v>S</v>
      </c>
    </row>
    <row r="79" spans="1:14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  <c r="M79">
        <f t="shared" si="2"/>
        <v>28</v>
      </c>
      <c r="N79" t="str">
        <f t="shared" si="3"/>
        <v>S</v>
      </c>
    </row>
    <row r="80" spans="1:14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  <c r="M80">
        <f t="shared" si="2"/>
        <v>0.83</v>
      </c>
      <c r="N80" t="str">
        <f t="shared" si="3"/>
        <v>S</v>
      </c>
    </row>
    <row r="81" spans="1:14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  <c r="M81">
        <f t="shared" si="2"/>
        <v>30</v>
      </c>
      <c r="N81" t="str">
        <f t="shared" si="3"/>
        <v>S</v>
      </c>
    </row>
    <row r="82" spans="1:14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  <c r="M82">
        <f t="shared" si="2"/>
        <v>22</v>
      </c>
      <c r="N82" t="str">
        <f t="shared" si="3"/>
        <v>S</v>
      </c>
    </row>
    <row r="83" spans="1:14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  <c r="M83">
        <f t="shared" si="2"/>
        <v>29</v>
      </c>
      <c r="N83" t="str">
        <f t="shared" si="3"/>
        <v>S</v>
      </c>
    </row>
    <row r="84" spans="1:14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  <c r="M84">
        <f t="shared" si="2"/>
        <v>28</v>
      </c>
      <c r="N84" t="str">
        <f t="shared" si="3"/>
        <v>Q</v>
      </c>
    </row>
    <row r="85" spans="1:14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  <c r="M85">
        <f t="shared" si="2"/>
        <v>28</v>
      </c>
      <c r="N85" t="str">
        <f t="shared" si="3"/>
        <v>S</v>
      </c>
    </row>
    <row r="86" spans="1:14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  <c r="M86">
        <f t="shared" si="2"/>
        <v>17</v>
      </c>
      <c r="N86" t="str">
        <f t="shared" si="3"/>
        <v>S</v>
      </c>
    </row>
    <row r="87" spans="1:14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  <c r="M87">
        <f t="shared" si="2"/>
        <v>33</v>
      </c>
      <c r="N87" t="str">
        <f t="shared" si="3"/>
        <v>S</v>
      </c>
    </row>
    <row r="88" spans="1:14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  <c r="M88">
        <f t="shared" si="2"/>
        <v>16</v>
      </c>
      <c r="N88" t="str">
        <f t="shared" si="3"/>
        <v>S</v>
      </c>
    </row>
    <row r="89" spans="1:14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  <c r="M89">
        <f t="shared" si="2"/>
        <v>28</v>
      </c>
      <c r="N89" t="str">
        <f t="shared" si="3"/>
        <v>S</v>
      </c>
    </row>
    <row r="90" spans="1:14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  <c r="M90">
        <f t="shared" si="2"/>
        <v>23</v>
      </c>
      <c r="N90" t="str">
        <f t="shared" si="3"/>
        <v>S</v>
      </c>
    </row>
    <row r="91" spans="1:14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  <c r="M91">
        <f t="shared" si="2"/>
        <v>24</v>
      </c>
      <c r="N91" t="str">
        <f t="shared" si="3"/>
        <v>S</v>
      </c>
    </row>
    <row r="92" spans="1:14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  <c r="M92">
        <f t="shared" si="2"/>
        <v>29</v>
      </c>
      <c r="N92" t="str">
        <f t="shared" si="3"/>
        <v>S</v>
      </c>
    </row>
    <row r="93" spans="1:14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  <c r="M93">
        <f t="shared" si="2"/>
        <v>20</v>
      </c>
      <c r="N93" t="str">
        <f t="shared" si="3"/>
        <v>S</v>
      </c>
    </row>
    <row r="94" spans="1:14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  <c r="M94">
        <f t="shared" si="2"/>
        <v>46</v>
      </c>
      <c r="N94" t="str">
        <f t="shared" si="3"/>
        <v>S</v>
      </c>
    </row>
    <row r="95" spans="1:14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  <c r="M95">
        <f t="shared" si="2"/>
        <v>26</v>
      </c>
      <c r="N95" t="str">
        <f t="shared" si="3"/>
        <v>S</v>
      </c>
    </row>
    <row r="96" spans="1:14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  <c r="M96">
        <f t="shared" si="2"/>
        <v>59</v>
      </c>
      <c r="N96" t="str">
        <f t="shared" si="3"/>
        <v>S</v>
      </c>
    </row>
    <row r="97" spans="1:14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  <c r="M97">
        <f t="shared" si="2"/>
        <v>28</v>
      </c>
      <c r="N97" t="str">
        <f t="shared" si="3"/>
        <v>S</v>
      </c>
    </row>
    <row r="98" spans="1:14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  <c r="M98">
        <f t="shared" si="2"/>
        <v>71</v>
      </c>
      <c r="N98" t="str">
        <f t="shared" si="3"/>
        <v>C</v>
      </c>
    </row>
    <row r="99" spans="1:14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  <c r="M99">
        <f t="shared" si="2"/>
        <v>23</v>
      </c>
      <c r="N99" t="str">
        <f t="shared" si="3"/>
        <v>C</v>
      </c>
    </row>
    <row r="100" spans="1:14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  <c r="M100">
        <f t="shared" si="2"/>
        <v>34</v>
      </c>
      <c r="N100" t="str">
        <f t="shared" si="3"/>
        <v>S</v>
      </c>
    </row>
    <row r="101" spans="1:14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  <c r="M101">
        <f t="shared" si="2"/>
        <v>34</v>
      </c>
      <c r="N101" t="str">
        <f t="shared" si="3"/>
        <v>S</v>
      </c>
    </row>
    <row r="102" spans="1:14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  <c r="M102">
        <f t="shared" si="2"/>
        <v>28</v>
      </c>
      <c r="N102" t="str">
        <f t="shared" si="3"/>
        <v>S</v>
      </c>
    </row>
    <row r="103" spans="1:14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  <c r="M103">
        <f t="shared" si="2"/>
        <v>28</v>
      </c>
      <c r="N103" t="str">
        <f t="shared" si="3"/>
        <v>S</v>
      </c>
    </row>
    <row r="104" spans="1:14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  <c r="M104">
        <f t="shared" si="2"/>
        <v>21</v>
      </c>
      <c r="N104" t="str">
        <f t="shared" si="3"/>
        <v>S</v>
      </c>
    </row>
    <row r="105" spans="1:14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  <c r="M105">
        <f t="shared" si="2"/>
        <v>33</v>
      </c>
      <c r="N105" t="str">
        <f t="shared" si="3"/>
        <v>S</v>
      </c>
    </row>
    <row r="106" spans="1:14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  <c r="M106">
        <f t="shared" si="2"/>
        <v>37</v>
      </c>
      <c r="N106" t="str">
        <f t="shared" si="3"/>
        <v>S</v>
      </c>
    </row>
    <row r="107" spans="1:14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  <c r="M107">
        <f t="shared" si="2"/>
        <v>28</v>
      </c>
      <c r="N107" t="str">
        <f t="shared" si="3"/>
        <v>S</v>
      </c>
    </row>
    <row r="108" spans="1:14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  <c r="M108">
        <f t="shared" si="2"/>
        <v>21</v>
      </c>
      <c r="N108" t="str">
        <f t="shared" si="3"/>
        <v>S</v>
      </c>
    </row>
    <row r="109" spans="1:14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  <c r="M109">
        <f t="shared" si="2"/>
        <v>28</v>
      </c>
      <c r="N109" t="str">
        <f t="shared" si="3"/>
        <v>S</v>
      </c>
    </row>
    <row r="110" spans="1:14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  <c r="M110">
        <f t="shared" si="2"/>
        <v>38</v>
      </c>
      <c r="N110" t="str">
        <f t="shared" si="3"/>
        <v>S</v>
      </c>
    </row>
    <row r="111" spans="1:14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  <c r="M111">
        <f t="shared" si="2"/>
        <v>28</v>
      </c>
      <c r="N111" t="str">
        <f t="shared" si="3"/>
        <v>Q</v>
      </c>
    </row>
    <row r="112" spans="1:14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  <c r="M112">
        <f t="shared" si="2"/>
        <v>47</v>
      </c>
      <c r="N112" t="str">
        <f t="shared" si="3"/>
        <v>S</v>
      </c>
    </row>
    <row r="113" spans="1:14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  <c r="M113">
        <f t="shared" si="2"/>
        <v>14.5</v>
      </c>
      <c r="N113" t="str">
        <f t="shared" si="3"/>
        <v>C</v>
      </c>
    </row>
    <row r="114" spans="1:14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  <c r="M114">
        <f t="shared" si="2"/>
        <v>22</v>
      </c>
      <c r="N114" t="str">
        <f t="shared" si="3"/>
        <v>S</v>
      </c>
    </row>
    <row r="115" spans="1:14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  <c r="M115">
        <f t="shared" si="2"/>
        <v>20</v>
      </c>
      <c r="N115" t="str">
        <f t="shared" si="3"/>
        <v>S</v>
      </c>
    </row>
    <row r="116" spans="1:14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  <c r="M116">
        <f t="shared" si="2"/>
        <v>17</v>
      </c>
      <c r="N116" t="str">
        <f t="shared" si="3"/>
        <v>C</v>
      </c>
    </row>
    <row r="117" spans="1:14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  <c r="M117">
        <f t="shared" si="2"/>
        <v>21</v>
      </c>
      <c r="N117" t="str">
        <f t="shared" si="3"/>
        <v>S</v>
      </c>
    </row>
    <row r="118" spans="1:14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  <c r="M118">
        <f t="shared" si="2"/>
        <v>70.5</v>
      </c>
      <c r="N118" t="str">
        <f t="shared" si="3"/>
        <v>Q</v>
      </c>
    </row>
    <row r="119" spans="1:14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  <c r="M119">
        <f t="shared" si="2"/>
        <v>29</v>
      </c>
      <c r="N119" t="str">
        <f t="shared" si="3"/>
        <v>S</v>
      </c>
    </row>
    <row r="120" spans="1:14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  <c r="M120">
        <f t="shared" si="2"/>
        <v>24</v>
      </c>
      <c r="N120" t="str">
        <f t="shared" si="3"/>
        <v>C</v>
      </c>
    </row>
    <row r="121" spans="1:14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  <c r="M121">
        <f t="shared" si="2"/>
        <v>2</v>
      </c>
      <c r="N121" t="str">
        <f t="shared" si="3"/>
        <v>S</v>
      </c>
    </row>
    <row r="122" spans="1:14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  <c r="M122">
        <f t="shared" si="2"/>
        <v>21</v>
      </c>
      <c r="N122" t="str">
        <f t="shared" si="3"/>
        <v>S</v>
      </c>
    </row>
    <row r="123" spans="1:14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  <c r="M123">
        <f t="shared" si="2"/>
        <v>28</v>
      </c>
      <c r="N123" t="str">
        <f t="shared" si="3"/>
        <v>S</v>
      </c>
    </row>
    <row r="124" spans="1:14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  <c r="M124">
        <f t="shared" si="2"/>
        <v>32.5</v>
      </c>
      <c r="N124" t="str">
        <f t="shared" si="3"/>
        <v>C</v>
      </c>
    </row>
    <row r="125" spans="1:14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  <c r="M125">
        <f t="shared" si="2"/>
        <v>32.5</v>
      </c>
      <c r="N125" t="str">
        <f t="shared" si="3"/>
        <v>S</v>
      </c>
    </row>
    <row r="126" spans="1:14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  <c r="M126">
        <f t="shared" si="2"/>
        <v>54</v>
      </c>
      <c r="N126" t="str">
        <f t="shared" si="3"/>
        <v>S</v>
      </c>
    </row>
    <row r="127" spans="1:14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  <c r="M127">
        <f t="shared" si="2"/>
        <v>12</v>
      </c>
      <c r="N127" t="str">
        <f t="shared" si="3"/>
        <v>C</v>
      </c>
    </row>
    <row r="128" spans="1:14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  <c r="M128">
        <f t="shared" si="2"/>
        <v>28</v>
      </c>
      <c r="N128" t="str">
        <f t="shared" si="3"/>
        <v>Q</v>
      </c>
    </row>
    <row r="129" spans="1:14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  <c r="M129">
        <f t="shared" si="2"/>
        <v>24</v>
      </c>
      <c r="N129" t="str">
        <f t="shared" si="3"/>
        <v>S</v>
      </c>
    </row>
    <row r="130" spans="1:14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  <c r="M130">
        <f t="shared" si="2"/>
        <v>28</v>
      </c>
      <c r="N130" t="str">
        <f t="shared" si="3"/>
        <v>C</v>
      </c>
    </row>
    <row r="131" spans="1:14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  <c r="M131">
        <f t="shared" ref="M131:M194" si="4">IF(F131="", 28, F131)</f>
        <v>45</v>
      </c>
      <c r="N131" t="str">
        <f t="shared" ref="N131:N194" si="5">IF(L131="", "S", L131)</f>
        <v>S</v>
      </c>
    </row>
    <row r="132" spans="1:14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  <c r="M132">
        <f t="shared" si="4"/>
        <v>33</v>
      </c>
      <c r="N132" t="str">
        <f t="shared" si="5"/>
        <v>C</v>
      </c>
    </row>
    <row r="133" spans="1:14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  <c r="M133">
        <f t="shared" si="4"/>
        <v>20</v>
      </c>
      <c r="N133" t="str">
        <f t="shared" si="5"/>
        <v>S</v>
      </c>
    </row>
    <row r="134" spans="1:14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  <c r="M134">
        <f t="shared" si="4"/>
        <v>47</v>
      </c>
      <c r="N134" t="str">
        <f t="shared" si="5"/>
        <v>S</v>
      </c>
    </row>
    <row r="135" spans="1:14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  <c r="M135">
        <f t="shared" si="4"/>
        <v>29</v>
      </c>
      <c r="N135" t="str">
        <f t="shared" si="5"/>
        <v>S</v>
      </c>
    </row>
    <row r="136" spans="1:14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  <c r="M136">
        <f t="shared" si="4"/>
        <v>25</v>
      </c>
      <c r="N136" t="str">
        <f t="shared" si="5"/>
        <v>S</v>
      </c>
    </row>
    <row r="137" spans="1:14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  <c r="M137">
        <f t="shared" si="4"/>
        <v>23</v>
      </c>
      <c r="N137" t="str">
        <f t="shared" si="5"/>
        <v>C</v>
      </c>
    </row>
    <row r="138" spans="1:14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  <c r="M138">
        <f t="shared" si="4"/>
        <v>19</v>
      </c>
      <c r="N138" t="str">
        <f t="shared" si="5"/>
        <v>S</v>
      </c>
    </row>
    <row r="139" spans="1:14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  <c r="M139">
        <f t="shared" si="4"/>
        <v>37</v>
      </c>
      <c r="N139" t="str">
        <f t="shared" si="5"/>
        <v>S</v>
      </c>
    </row>
    <row r="140" spans="1:14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  <c r="M140">
        <f t="shared" si="4"/>
        <v>16</v>
      </c>
      <c r="N140" t="str">
        <f t="shared" si="5"/>
        <v>S</v>
      </c>
    </row>
    <row r="141" spans="1:14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  <c r="M141">
        <f t="shared" si="4"/>
        <v>24</v>
      </c>
      <c r="N141" t="str">
        <f t="shared" si="5"/>
        <v>C</v>
      </c>
    </row>
    <row r="142" spans="1:14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  <c r="M142">
        <f t="shared" si="4"/>
        <v>28</v>
      </c>
      <c r="N142" t="str">
        <f t="shared" si="5"/>
        <v>C</v>
      </c>
    </row>
    <row r="143" spans="1:14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  <c r="M143">
        <f t="shared" si="4"/>
        <v>22</v>
      </c>
      <c r="N143" t="str">
        <f t="shared" si="5"/>
        <v>S</v>
      </c>
    </row>
    <row r="144" spans="1:14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  <c r="M144">
        <f t="shared" si="4"/>
        <v>24</v>
      </c>
      <c r="N144" t="str">
        <f t="shared" si="5"/>
        <v>S</v>
      </c>
    </row>
    <row r="145" spans="1:14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  <c r="M145">
        <f t="shared" si="4"/>
        <v>19</v>
      </c>
      <c r="N145" t="str">
        <f t="shared" si="5"/>
        <v>Q</v>
      </c>
    </row>
    <row r="146" spans="1:14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  <c r="M146">
        <f t="shared" si="4"/>
        <v>18</v>
      </c>
      <c r="N146" t="str">
        <f t="shared" si="5"/>
        <v>S</v>
      </c>
    </row>
    <row r="147" spans="1:14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  <c r="M147">
        <f t="shared" si="4"/>
        <v>19</v>
      </c>
      <c r="N147" t="str">
        <f t="shared" si="5"/>
        <v>S</v>
      </c>
    </row>
    <row r="148" spans="1:14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  <c r="M148">
        <f t="shared" si="4"/>
        <v>27</v>
      </c>
      <c r="N148" t="str">
        <f t="shared" si="5"/>
        <v>S</v>
      </c>
    </row>
    <row r="149" spans="1:14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  <c r="M149">
        <f t="shared" si="4"/>
        <v>9</v>
      </c>
      <c r="N149" t="str">
        <f t="shared" si="5"/>
        <v>S</v>
      </c>
    </row>
    <row r="150" spans="1:14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  <c r="M150">
        <f t="shared" si="4"/>
        <v>36.5</v>
      </c>
      <c r="N150" t="str">
        <f t="shared" si="5"/>
        <v>S</v>
      </c>
    </row>
    <row r="151" spans="1:14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  <c r="M151">
        <f t="shared" si="4"/>
        <v>42</v>
      </c>
      <c r="N151" t="str">
        <f t="shared" si="5"/>
        <v>S</v>
      </c>
    </row>
    <row r="152" spans="1:14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  <c r="M152">
        <f t="shared" si="4"/>
        <v>51</v>
      </c>
      <c r="N152" t="str">
        <f t="shared" si="5"/>
        <v>S</v>
      </c>
    </row>
    <row r="153" spans="1:14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  <c r="M153">
        <f t="shared" si="4"/>
        <v>22</v>
      </c>
      <c r="N153" t="str">
        <f t="shared" si="5"/>
        <v>S</v>
      </c>
    </row>
    <row r="154" spans="1:14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  <c r="M154">
        <f t="shared" si="4"/>
        <v>55.5</v>
      </c>
      <c r="N154" t="str">
        <f t="shared" si="5"/>
        <v>S</v>
      </c>
    </row>
    <row r="155" spans="1:14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  <c r="M155">
        <f t="shared" si="4"/>
        <v>40.5</v>
      </c>
      <c r="N155" t="str">
        <f t="shared" si="5"/>
        <v>S</v>
      </c>
    </row>
    <row r="156" spans="1:14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  <c r="M156">
        <f t="shared" si="4"/>
        <v>28</v>
      </c>
      <c r="N156" t="str">
        <f t="shared" si="5"/>
        <v>S</v>
      </c>
    </row>
    <row r="157" spans="1:14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  <c r="M157">
        <f t="shared" si="4"/>
        <v>51</v>
      </c>
      <c r="N157" t="str">
        <f t="shared" si="5"/>
        <v>C</v>
      </c>
    </row>
    <row r="158" spans="1:14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  <c r="M158">
        <f t="shared" si="4"/>
        <v>16</v>
      </c>
      <c r="N158" t="str">
        <f t="shared" si="5"/>
        <v>Q</v>
      </c>
    </row>
    <row r="159" spans="1:14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  <c r="M159">
        <f t="shared" si="4"/>
        <v>30</v>
      </c>
      <c r="N159" t="str">
        <f t="shared" si="5"/>
        <v>S</v>
      </c>
    </row>
    <row r="160" spans="1:14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  <c r="M160">
        <f t="shared" si="4"/>
        <v>28</v>
      </c>
      <c r="N160" t="str">
        <f t="shared" si="5"/>
        <v>S</v>
      </c>
    </row>
    <row r="161" spans="1:14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  <c r="M161">
        <f t="shared" si="4"/>
        <v>28</v>
      </c>
      <c r="N161" t="str">
        <f t="shared" si="5"/>
        <v>S</v>
      </c>
    </row>
    <row r="162" spans="1:14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  <c r="M162">
        <f t="shared" si="4"/>
        <v>44</v>
      </c>
      <c r="N162" t="str">
        <f t="shared" si="5"/>
        <v>S</v>
      </c>
    </row>
    <row r="163" spans="1:14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  <c r="M163">
        <f t="shared" si="4"/>
        <v>40</v>
      </c>
      <c r="N163" t="str">
        <f t="shared" si="5"/>
        <v>S</v>
      </c>
    </row>
    <row r="164" spans="1:14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  <c r="M164">
        <f t="shared" si="4"/>
        <v>26</v>
      </c>
      <c r="N164" t="str">
        <f t="shared" si="5"/>
        <v>S</v>
      </c>
    </row>
    <row r="165" spans="1:14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  <c r="M165">
        <f t="shared" si="4"/>
        <v>17</v>
      </c>
      <c r="N165" t="str">
        <f t="shared" si="5"/>
        <v>S</v>
      </c>
    </row>
    <row r="166" spans="1:14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  <c r="M166">
        <f t="shared" si="4"/>
        <v>1</v>
      </c>
      <c r="N166" t="str">
        <f t="shared" si="5"/>
        <v>S</v>
      </c>
    </row>
    <row r="167" spans="1:14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  <c r="M167">
        <f t="shared" si="4"/>
        <v>9</v>
      </c>
      <c r="N167" t="str">
        <f t="shared" si="5"/>
        <v>S</v>
      </c>
    </row>
    <row r="168" spans="1:14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  <c r="M168">
        <f t="shared" si="4"/>
        <v>28</v>
      </c>
      <c r="N168" t="str">
        <f t="shared" si="5"/>
        <v>S</v>
      </c>
    </row>
    <row r="169" spans="1:14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  <c r="M169">
        <f t="shared" si="4"/>
        <v>45</v>
      </c>
      <c r="N169" t="str">
        <f t="shared" si="5"/>
        <v>S</v>
      </c>
    </row>
    <row r="170" spans="1:14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  <c r="M170">
        <f t="shared" si="4"/>
        <v>28</v>
      </c>
      <c r="N170" t="str">
        <f t="shared" si="5"/>
        <v>S</v>
      </c>
    </row>
    <row r="171" spans="1:14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  <c r="M171">
        <f t="shared" si="4"/>
        <v>28</v>
      </c>
      <c r="N171" t="str">
        <f t="shared" si="5"/>
        <v>S</v>
      </c>
    </row>
    <row r="172" spans="1:14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  <c r="M172">
        <f t="shared" si="4"/>
        <v>61</v>
      </c>
      <c r="N172" t="str">
        <f t="shared" si="5"/>
        <v>S</v>
      </c>
    </row>
    <row r="173" spans="1:14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  <c r="M173">
        <f t="shared" si="4"/>
        <v>4</v>
      </c>
      <c r="N173" t="str">
        <f t="shared" si="5"/>
        <v>Q</v>
      </c>
    </row>
    <row r="174" spans="1:14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  <c r="M174">
        <f t="shared" si="4"/>
        <v>1</v>
      </c>
      <c r="N174" t="str">
        <f t="shared" si="5"/>
        <v>S</v>
      </c>
    </row>
    <row r="175" spans="1:14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  <c r="M175">
        <f t="shared" si="4"/>
        <v>21</v>
      </c>
      <c r="N175" t="str">
        <f t="shared" si="5"/>
        <v>S</v>
      </c>
    </row>
    <row r="176" spans="1:14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  <c r="M176">
        <f t="shared" si="4"/>
        <v>56</v>
      </c>
      <c r="N176" t="str">
        <f t="shared" si="5"/>
        <v>C</v>
      </c>
    </row>
    <row r="177" spans="1:14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  <c r="M177">
        <f t="shared" si="4"/>
        <v>18</v>
      </c>
      <c r="N177" t="str">
        <f t="shared" si="5"/>
        <v>S</v>
      </c>
    </row>
    <row r="178" spans="1:14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  <c r="M178">
        <f t="shared" si="4"/>
        <v>28</v>
      </c>
      <c r="N178" t="str">
        <f t="shared" si="5"/>
        <v>S</v>
      </c>
    </row>
    <row r="179" spans="1:14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  <c r="M179">
        <f t="shared" si="4"/>
        <v>50</v>
      </c>
      <c r="N179" t="str">
        <f t="shared" si="5"/>
        <v>C</v>
      </c>
    </row>
    <row r="180" spans="1:14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  <c r="M180">
        <f t="shared" si="4"/>
        <v>30</v>
      </c>
      <c r="N180" t="str">
        <f t="shared" si="5"/>
        <v>S</v>
      </c>
    </row>
    <row r="181" spans="1:14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  <c r="M181">
        <f t="shared" si="4"/>
        <v>36</v>
      </c>
      <c r="N181" t="str">
        <f t="shared" si="5"/>
        <v>S</v>
      </c>
    </row>
    <row r="182" spans="1:14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  <c r="M182">
        <f t="shared" si="4"/>
        <v>28</v>
      </c>
      <c r="N182" t="str">
        <f t="shared" si="5"/>
        <v>S</v>
      </c>
    </row>
    <row r="183" spans="1:14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  <c r="M183">
        <f t="shared" si="4"/>
        <v>28</v>
      </c>
      <c r="N183" t="str">
        <f t="shared" si="5"/>
        <v>C</v>
      </c>
    </row>
    <row r="184" spans="1:14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  <c r="M184">
        <f t="shared" si="4"/>
        <v>9</v>
      </c>
      <c r="N184" t="str">
        <f t="shared" si="5"/>
        <v>S</v>
      </c>
    </row>
    <row r="185" spans="1:14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  <c r="M185">
        <f t="shared" si="4"/>
        <v>1</v>
      </c>
      <c r="N185" t="str">
        <f t="shared" si="5"/>
        <v>S</v>
      </c>
    </row>
    <row r="186" spans="1:14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  <c r="M186">
        <f t="shared" si="4"/>
        <v>4</v>
      </c>
      <c r="N186" t="str">
        <f t="shared" si="5"/>
        <v>S</v>
      </c>
    </row>
    <row r="187" spans="1:14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  <c r="M187">
        <f t="shared" si="4"/>
        <v>28</v>
      </c>
      <c r="N187" t="str">
        <f t="shared" si="5"/>
        <v>S</v>
      </c>
    </row>
    <row r="188" spans="1:14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  <c r="M188">
        <f t="shared" si="4"/>
        <v>28</v>
      </c>
      <c r="N188" t="str">
        <f t="shared" si="5"/>
        <v>Q</v>
      </c>
    </row>
    <row r="189" spans="1:14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  <c r="M189">
        <f t="shared" si="4"/>
        <v>45</v>
      </c>
      <c r="N189" t="str">
        <f t="shared" si="5"/>
        <v>S</v>
      </c>
    </row>
    <row r="190" spans="1:14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  <c r="M190">
        <f t="shared" si="4"/>
        <v>40</v>
      </c>
      <c r="N190" t="str">
        <f t="shared" si="5"/>
        <v>Q</v>
      </c>
    </row>
    <row r="191" spans="1:14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  <c r="M191">
        <f t="shared" si="4"/>
        <v>36</v>
      </c>
      <c r="N191" t="str">
        <f t="shared" si="5"/>
        <v>S</v>
      </c>
    </row>
    <row r="192" spans="1:14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  <c r="M192">
        <f t="shared" si="4"/>
        <v>32</v>
      </c>
      <c r="N192" t="str">
        <f t="shared" si="5"/>
        <v>S</v>
      </c>
    </row>
    <row r="193" spans="1:14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  <c r="M193">
        <f t="shared" si="4"/>
        <v>19</v>
      </c>
      <c r="N193" t="str">
        <f t="shared" si="5"/>
        <v>S</v>
      </c>
    </row>
    <row r="194" spans="1:14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  <c r="M194">
        <f t="shared" si="4"/>
        <v>19</v>
      </c>
      <c r="N194" t="str">
        <f t="shared" si="5"/>
        <v>S</v>
      </c>
    </row>
    <row r="195" spans="1:14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  <c r="M195">
        <f t="shared" ref="M195:M258" si="6">IF(F195="", 28, F195)</f>
        <v>3</v>
      </c>
      <c r="N195" t="str">
        <f t="shared" ref="N195:N258" si="7">IF(L195="", "S", L195)</f>
        <v>S</v>
      </c>
    </row>
    <row r="196" spans="1:14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  <c r="M196">
        <f t="shared" si="6"/>
        <v>44</v>
      </c>
      <c r="N196" t="str">
        <f t="shared" si="7"/>
        <v>C</v>
      </c>
    </row>
    <row r="197" spans="1:14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  <c r="M197">
        <f t="shared" si="6"/>
        <v>58</v>
      </c>
      <c r="N197" t="str">
        <f t="shared" si="7"/>
        <v>C</v>
      </c>
    </row>
    <row r="198" spans="1:14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  <c r="M198">
        <f t="shared" si="6"/>
        <v>28</v>
      </c>
      <c r="N198" t="str">
        <f t="shared" si="7"/>
        <v>Q</v>
      </c>
    </row>
    <row r="199" spans="1:14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  <c r="M199">
        <f t="shared" si="6"/>
        <v>42</v>
      </c>
      <c r="N199" t="str">
        <f t="shared" si="7"/>
        <v>S</v>
      </c>
    </row>
    <row r="200" spans="1:14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  <c r="M200">
        <f t="shared" si="6"/>
        <v>28</v>
      </c>
      <c r="N200" t="str">
        <f t="shared" si="7"/>
        <v>Q</v>
      </c>
    </row>
    <row r="201" spans="1:14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  <c r="M201">
        <f t="shared" si="6"/>
        <v>24</v>
      </c>
      <c r="N201" t="str">
        <f t="shared" si="7"/>
        <v>S</v>
      </c>
    </row>
    <row r="202" spans="1:14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  <c r="M202">
        <f t="shared" si="6"/>
        <v>28</v>
      </c>
      <c r="N202" t="str">
        <f t="shared" si="7"/>
        <v>S</v>
      </c>
    </row>
    <row r="203" spans="1:14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  <c r="M203">
        <f t="shared" si="6"/>
        <v>28</v>
      </c>
      <c r="N203" t="str">
        <f t="shared" si="7"/>
        <v>S</v>
      </c>
    </row>
    <row r="204" spans="1:14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  <c r="M204">
        <f t="shared" si="6"/>
        <v>34</v>
      </c>
      <c r="N204" t="str">
        <f t="shared" si="7"/>
        <v>S</v>
      </c>
    </row>
    <row r="205" spans="1:14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  <c r="M205">
        <f t="shared" si="6"/>
        <v>45.5</v>
      </c>
      <c r="N205" t="str">
        <f t="shared" si="7"/>
        <v>C</v>
      </c>
    </row>
    <row r="206" spans="1:14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  <c r="M206">
        <f t="shared" si="6"/>
        <v>18</v>
      </c>
      <c r="N206" t="str">
        <f t="shared" si="7"/>
        <v>S</v>
      </c>
    </row>
    <row r="207" spans="1:14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  <c r="M207">
        <f t="shared" si="6"/>
        <v>2</v>
      </c>
      <c r="N207" t="str">
        <f t="shared" si="7"/>
        <v>S</v>
      </c>
    </row>
    <row r="208" spans="1:14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  <c r="M208">
        <f t="shared" si="6"/>
        <v>32</v>
      </c>
      <c r="N208" t="str">
        <f t="shared" si="7"/>
        <v>S</v>
      </c>
    </row>
    <row r="209" spans="1:14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  <c r="M209">
        <f t="shared" si="6"/>
        <v>26</v>
      </c>
      <c r="N209" t="str">
        <f t="shared" si="7"/>
        <v>C</v>
      </c>
    </row>
    <row r="210" spans="1:14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  <c r="M210">
        <f t="shared" si="6"/>
        <v>16</v>
      </c>
      <c r="N210" t="str">
        <f t="shared" si="7"/>
        <v>Q</v>
      </c>
    </row>
    <row r="211" spans="1:14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  <c r="M211">
        <f t="shared" si="6"/>
        <v>40</v>
      </c>
      <c r="N211" t="str">
        <f t="shared" si="7"/>
        <v>C</v>
      </c>
    </row>
    <row r="212" spans="1:14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  <c r="M212">
        <f t="shared" si="6"/>
        <v>24</v>
      </c>
      <c r="N212" t="str">
        <f t="shared" si="7"/>
        <v>S</v>
      </c>
    </row>
    <row r="213" spans="1:14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  <c r="M213">
        <f t="shared" si="6"/>
        <v>35</v>
      </c>
      <c r="N213" t="str">
        <f t="shared" si="7"/>
        <v>S</v>
      </c>
    </row>
    <row r="214" spans="1:14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  <c r="M214">
        <f t="shared" si="6"/>
        <v>22</v>
      </c>
      <c r="N214" t="str">
        <f t="shared" si="7"/>
        <v>S</v>
      </c>
    </row>
    <row r="215" spans="1:14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  <c r="M215">
        <f t="shared" si="6"/>
        <v>30</v>
      </c>
      <c r="N215" t="str">
        <f t="shared" si="7"/>
        <v>S</v>
      </c>
    </row>
    <row r="216" spans="1:14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  <c r="M216">
        <f t="shared" si="6"/>
        <v>28</v>
      </c>
      <c r="N216" t="str">
        <f t="shared" si="7"/>
        <v>Q</v>
      </c>
    </row>
    <row r="217" spans="1:14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  <c r="M217">
        <f t="shared" si="6"/>
        <v>31</v>
      </c>
      <c r="N217" t="str">
        <f t="shared" si="7"/>
        <v>C</v>
      </c>
    </row>
    <row r="218" spans="1:14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  <c r="M218">
        <f t="shared" si="6"/>
        <v>27</v>
      </c>
      <c r="N218" t="str">
        <f t="shared" si="7"/>
        <v>S</v>
      </c>
    </row>
    <row r="219" spans="1:14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  <c r="M219">
        <f t="shared" si="6"/>
        <v>42</v>
      </c>
      <c r="N219" t="str">
        <f t="shared" si="7"/>
        <v>S</v>
      </c>
    </row>
    <row r="220" spans="1:14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  <c r="M220">
        <f t="shared" si="6"/>
        <v>32</v>
      </c>
      <c r="N220" t="str">
        <f t="shared" si="7"/>
        <v>C</v>
      </c>
    </row>
    <row r="221" spans="1:14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  <c r="M221">
        <f t="shared" si="6"/>
        <v>30</v>
      </c>
      <c r="N221" t="str">
        <f t="shared" si="7"/>
        <v>S</v>
      </c>
    </row>
    <row r="222" spans="1:14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  <c r="M222">
        <f t="shared" si="6"/>
        <v>16</v>
      </c>
      <c r="N222" t="str">
        <f t="shared" si="7"/>
        <v>S</v>
      </c>
    </row>
    <row r="223" spans="1:14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  <c r="M223">
        <f t="shared" si="6"/>
        <v>27</v>
      </c>
      <c r="N223" t="str">
        <f t="shared" si="7"/>
        <v>S</v>
      </c>
    </row>
    <row r="224" spans="1:14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  <c r="M224">
        <f t="shared" si="6"/>
        <v>51</v>
      </c>
      <c r="N224" t="str">
        <f t="shared" si="7"/>
        <v>S</v>
      </c>
    </row>
    <row r="225" spans="1:14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  <c r="M225">
        <f t="shared" si="6"/>
        <v>28</v>
      </c>
      <c r="N225" t="str">
        <f t="shared" si="7"/>
        <v>S</v>
      </c>
    </row>
    <row r="226" spans="1:14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  <c r="M226">
        <f t="shared" si="6"/>
        <v>38</v>
      </c>
      <c r="N226" t="str">
        <f t="shared" si="7"/>
        <v>S</v>
      </c>
    </row>
    <row r="227" spans="1:14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  <c r="M227">
        <f t="shared" si="6"/>
        <v>22</v>
      </c>
      <c r="N227" t="str">
        <f t="shared" si="7"/>
        <v>S</v>
      </c>
    </row>
    <row r="228" spans="1:14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  <c r="M228">
        <f t="shared" si="6"/>
        <v>19</v>
      </c>
      <c r="N228" t="str">
        <f t="shared" si="7"/>
        <v>S</v>
      </c>
    </row>
    <row r="229" spans="1:14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  <c r="M229">
        <f t="shared" si="6"/>
        <v>20.5</v>
      </c>
      <c r="N229" t="str">
        <f t="shared" si="7"/>
        <v>S</v>
      </c>
    </row>
    <row r="230" spans="1:14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  <c r="M230">
        <f t="shared" si="6"/>
        <v>18</v>
      </c>
      <c r="N230" t="str">
        <f t="shared" si="7"/>
        <v>S</v>
      </c>
    </row>
    <row r="231" spans="1:14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  <c r="M231">
        <f t="shared" si="6"/>
        <v>28</v>
      </c>
      <c r="N231" t="str">
        <f t="shared" si="7"/>
        <v>S</v>
      </c>
    </row>
    <row r="232" spans="1:14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  <c r="M232">
        <f t="shared" si="6"/>
        <v>35</v>
      </c>
      <c r="N232" t="str">
        <f t="shared" si="7"/>
        <v>S</v>
      </c>
    </row>
    <row r="233" spans="1:14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  <c r="M233">
        <f t="shared" si="6"/>
        <v>29</v>
      </c>
      <c r="N233" t="str">
        <f t="shared" si="7"/>
        <v>S</v>
      </c>
    </row>
    <row r="234" spans="1:14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  <c r="M234">
        <f t="shared" si="6"/>
        <v>59</v>
      </c>
      <c r="N234" t="str">
        <f t="shared" si="7"/>
        <v>S</v>
      </c>
    </row>
    <row r="235" spans="1:14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  <c r="M235">
        <f t="shared" si="6"/>
        <v>5</v>
      </c>
      <c r="N235" t="str">
        <f t="shared" si="7"/>
        <v>S</v>
      </c>
    </row>
    <row r="236" spans="1:14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  <c r="M236">
        <f t="shared" si="6"/>
        <v>24</v>
      </c>
      <c r="N236" t="str">
        <f t="shared" si="7"/>
        <v>S</v>
      </c>
    </row>
    <row r="237" spans="1:14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  <c r="M237">
        <f t="shared" si="6"/>
        <v>28</v>
      </c>
      <c r="N237" t="str">
        <f t="shared" si="7"/>
        <v>S</v>
      </c>
    </row>
    <row r="238" spans="1:14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  <c r="M238">
        <f t="shared" si="6"/>
        <v>44</v>
      </c>
      <c r="N238" t="str">
        <f t="shared" si="7"/>
        <v>S</v>
      </c>
    </row>
    <row r="239" spans="1:14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  <c r="M239">
        <f t="shared" si="6"/>
        <v>8</v>
      </c>
      <c r="N239" t="str">
        <f t="shared" si="7"/>
        <v>S</v>
      </c>
    </row>
    <row r="240" spans="1:14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  <c r="M240">
        <f t="shared" si="6"/>
        <v>19</v>
      </c>
      <c r="N240" t="str">
        <f t="shared" si="7"/>
        <v>S</v>
      </c>
    </row>
    <row r="241" spans="1:14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  <c r="M241">
        <f t="shared" si="6"/>
        <v>33</v>
      </c>
      <c r="N241" t="str">
        <f t="shared" si="7"/>
        <v>S</v>
      </c>
    </row>
    <row r="242" spans="1:14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  <c r="M242">
        <f t="shared" si="6"/>
        <v>28</v>
      </c>
      <c r="N242" t="str">
        <f t="shared" si="7"/>
        <v>C</v>
      </c>
    </row>
    <row r="243" spans="1:14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  <c r="M243">
        <f t="shared" si="6"/>
        <v>28</v>
      </c>
      <c r="N243" t="str">
        <f t="shared" si="7"/>
        <v>Q</v>
      </c>
    </row>
    <row r="244" spans="1:14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  <c r="M244">
        <f t="shared" si="6"/>
        <v>29</v>
      </c>
      <c r="N244" t="str">
        <f t="shared" si="7"/>
        <v>S</v>
      </c>
    </row>
    <row r="245" spans="1:14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  <c r="M245">
        <f t="shared" si="6"/>
        <v>22</v>
      </c>
      <c r="N245" t="str">
        <f t="shared" si="7"/>
        <v>S</v>
      </c>
    </row>
    <row r="246" spans="1:14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  <c r="M246">
        <f t="shared" si="6"/>
        <v>30</v>
      </c>
      <c r="N246" t="str">
        <f t="shared" si="7"/>
        <v>C</v>
      </c>
    </row>
    <row r="247" spans="1:14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  <c r="M247">
        <f t="shared" si="6"/>
        <v>44</v>
      </c>
      <c r="N247" t="str">
        <f t="shared" si="7"/>
        <v>Q</v>
      </c>
    </row>
    <row r="248" spans="1:14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  <c r="M248">
        <f t="shared" si="6"/>
        <v>25</v>
      </c>
      <c r="N248" t="str">
        <f t="shared" si="7"/>
        <v>S</v>
      </c>
    </row>
    <row r="249" spans="1:14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  <c r="M249">
        <f t="shared" si="6"/>
        <v>24</v>
      </c>
      <c r="N249" t="str">
        <f t="shared" si="7"/>
        <v>S</v>
      </c>
    </row>
    <row r="250" spans="1:14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  <c r="M250">
        <f t="shared" si="6"/>
        <v>37</v>
      </c>
      <c r="N250" t="str">
        <f t="shared" si="7"/>
        <v>S</v>
      </c>
    </row>
    <row r="251" spans="1:14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  <c r="M251">
        <f t="shared" si="6"/>
        <v>54</v>
      </c>
      <c r="N251" t="str">
        <f t="shared" si="7"/>
        <v>S</v>
      </c>
    </row>
    <row r="252" spans="1:14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  <c r="M252">
        <f t="shared" si="6"/>
        <v>28</v>
      </c>
      <c r="N252" t="str">
        <f t="shared" si="7"/>
        <v>S</v>
      </c>
    </row>
    <row r="253" spans="1:14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  <c r="M253">
        <f t="shared" si="6"/>
        <v>29</v>
      </c>
      <c r="N253" t="str">
        <f t="shared" si="7"/>
        <v>S</v>
      </c>
    </row>
    <row r="254" spans="1:14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  <c r="M254">
        <f t="shared" si="6"/>
        <v>62</v>
      </c>
      <c r="N254" t="str">
        <f t="shared" si="7"/>
        <v>S</v>
      </c>
    </row>
    <row r="255" spans="1:14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  <c r="M255">
        <f t="shared" si="6"/>
        <v>30</v>
      </c>
      <c r="N255" t="str">
        <f t="shared" si="7"/>
        <v>S</v>
      </c>
    </row>
    <row r="256" spans="1:14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  <c r="M256">
        <f t="shared" si="6"/>
        <v>41</v>
      </c>
      <c r="N256" t="str">
        <f t="shared" si="7"/>
        <v>S</v>
      </c>
    </row>
    <row r="257" spans="1:14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  <c r="M257">
        <f t="shared" si="6"/>
        <v>29</v>
      </c>
      <c r="N257" t="str">
        <f t="shared" si="7"/>
        <v>C</v>
      </c>
    </row>
    <row r="258" spans="1:14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  <c r="M258">
        <f t="shared" si="6"/>
        <v>28</v>
      </c>
      <c r="N258" t="str">
        <f t="shared" si="7"/>
        <v>C</v>
      </c>
    </row>
    <row r="259" spans="1:14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  <c r="M259">
        <f t="shared" ref="M259:M322" si="8">IF(F259="", 28, F259)</f>
        <v>30</v>
      </c>
      <c r="N259" t="str">
        <f t="shared" ref="N259:N322" si="9">IF(L259="", "S", L259)</f>
        <v>S</v>
      </c>
    </row>
    <row r="260" spans="1:14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  <c r="M260">
        <f t="shared" si="8"/>
        <v>35</v>
      </c>
      <c r="N260" t="str">
        <f t="shared" si="9"/>
        <v>C</v>
      </c>
    </row>
    <row r="261" spans="1:14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  <c r="M261">
        <f t="shared" si="8"/>
        <v>50</v>
      </c>
      <c r="N261" t="str">
        <f t="shared" si="9"/>
        <v>S</v>
      </c>
    </row>
    <row r="262" spans="1:14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  <c r="M262">
        <f t="shared" si="8"/>
        <v>28</v>
      </c>
      <c r="N262" t="str">
        <f t="shared" si="9"/>
        <v>Q</v>
      </c>
    </row>
    <row r="263" spans="1:14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  <c r="M263">
        <f t="shared" si="8"/>
        <v>3</v>
      </c>
      <c r="N263" t="str">
        <f t="shared" si="9"/>
        <v>S</v>
      </c>
    </row>
    <row r="264" spans="1:14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  <c r="M264">
        <f t="shared" si="8"/>
        <v>52</v>
      </c>
      <c r="N264" t="str">
        <f t="shared" si="9"/>
        <v>S</v>
      </c>
    </row>
    <row r="265" spans="1:14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  <c r="M265">
        <f t="shared" si="8"/>
        <v>40</v>
      </c>
      <c r="N265" t="str">
        <f t="shared" si="9"/>
        <v>S</v>
      </c>
    </row>
    <row r="266" spans="1:14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  <c r="M266">
        <f t="shared" si="8"/>
        <v>28</v>
      </c>
      <c r="N266" t="str">
        <f t="shared" si="9"/>
        <v>Q</v>
      </c>
    </row>
    <row r="267" spans="1:14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  <c r="M267">
        <f t="shared" si="8"/>
        <v>36</v>
      </c>
      <c r="N267" t="str">
        <f t="shared" si="9"/>
        <v>S</v>
      </c>
    </row>
    <row r="268" spans="1:14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  <c r="M268">
        <f t="shared" si="8"/>
        <v>16</v>
      </c>
      <c r="N268" t="str">
        <f t="shared" si="9"/>
        <v>S</v>
      </c>
    </row>
    <row r="269" spans="1:14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  <c r="M269">
        <f t="shared" si="8"/>
        <v>25</v>
      </c>
      <c r="N269" t="str">
        <f t="shared" si="9"/>
        <v>S</v>
      </c>
    </row>
    <row r="270" spans="1:14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  <c r="M270">
        <f t="shared" si="8"/>
        <v>58</v>
      </c>
      <c r="N270" t="str">
        <f t="shared" si="9"/>
        <v>S</v>
      </c>
    </row>
    <row r="271" spans="1:14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  <c r="M271">
        <f t="shared" si="8"/>
        <v>35</v>
      </c>
      <c r="N271" t="str">
        <f t="shared" si="9"/>
        <v>S</v>
      </c>
    </row>
    <row r="272" spans="1:14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  <c r="M272">
        <f t="shared" si="8"/>
        <v>28</v>
      </c>
      <c r="N272" t="str">
        <f t="shared" si="9"/>
        <v>S</v>
      </c>
    </row>
    <row r="273" spans="1:14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  <c r="M273">
        <f t="shared" si="8"/>
        <v>25</v>
      </c>
      <c r="N273" t="str">
        <f t="shared" si="9"/>
        <v>S</v>
      </c>
    </row>
    <row r="274" spans="1:14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  <c r="M274">
        <f t="shared" si="8"/>
        <v>41</v>
      </c>
      <c r="N274" t="str">
        <f t="shared" si="9"/>
        <v>S</v>
      </c>
    </row>
    <row r="275" spans="1:14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  <c r="M275">
        <f t="shared" si="8"/>
        <v>37</v>
      </c>
      <c r="N275" t="str">
        <f t="shared" si="9"/>
        <v>C</v>
      </c>
    </row>
    <row r="276" spans="1:14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  <c r="M276">
        <f t="shared" si="8"/>
        <v>28</v>
      </c>
      <c r="N276" t="str">
        <f t="shared" si="9"/>
        <v>Q</v>
      </c>
    </row>
    <row r="277" spans="1:14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  <c r="M277">
        <f t="shared" si="8"/>
        <v>63</v>
      </c>
      <c r="N277" t="str">
        <f t="shared" si="9"/>
        <v>S</v>
      </c>
    </row>
    <row r="278" spans="1:14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  <c r="M278">
        <f t="shared" si="8"/>
        <v>45</v>
      </c>
      <c r="N278" t="str">
        <f t="shared" si="9"/>
        <v>S</v>
      </c>
    </row>
    <row r="279" spans="1:14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  <c r="M279">
        <f t="shared" si="8"/>
        <v>28</v>
      </c>
      <c r="N279" t="str">
        <f t="shared" si="9"/>
        <v>S</v>
      </c>
    </row>
    <row r="280" spans="1:14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  <c r="M280">
        <f t="shared" si="8"/>
        <v>7</v>
      </c>
      <c r="N280" t="str">
        <f t="shared" si="9"/>
        <v>Q</v>
      </c>
    </row>
    <row r="281" spans="1:14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  <c r="M281">
        <f t="shared" si="8"/>
        <v>35</v>
      </c>
      <c r="N281" t="str">
        <f t="shared" si="9"/>
        <v>S</v>
      </c>
    </row>
    <row r="282" spans="1:14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  <c r="M282">
        <f t="shared" si="8"/>
        <v>65</v>
      </c>
      <c r="N282" t="str">
        <f t="shared" si="9"/>
        <v>Q</v>
      </c>
    </row>
    <row r="283" spans="1:14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  <c r="M283">
        <f t="shared" si="8"/>
        <v>28</v>
      </c>
      <c r="N283" t="str">
        <f t="shared" si="9"/>
        <v>S</v>
      </c>
    </row>
    <row r="284" spans="1:14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  <c r="M284">
        <f t="shared" si="8"/>
        <v>16</v>
      </c>
      <c r="N284" t="str">
        <f t="shared" si="9"/>
        <v>S</v>
      </c>
    </row>
    <row r="285" spans="1:14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  <c r="M285">
        <f t="shared" si="8"/>
        <v>19</v>
      </c>
      <c r="N285" t="str">
        <f t="shared" si="9"/>
        <v>S</v>
      </c>
    </row>
    <row r="286" spans="1:14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  <c r="M286">
        <f t="shared" si="8"/>
        <v>28</v>
      </c>
      <c r="N286" t="str">
        <f t="shared" si="9"/>
        <v>S</v>
      </c>
    </row>
    <row r="287" spans="1:14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  <c r="M287">
        <f t="shared" si="8"/>
        <v>33</v>
      </c>
      <c r="N287" t="str">
        <f t="shared" si="9"/>
        <v>C</v>
      </c>
    </row>
    <row r="288" spans="1:14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  <c r="M288">
        <f t="shared" si="8"/>
        <v>30</v>
      </c>
      <c r="N288" t="str">
        <f t="shared" si="9"/>
        <v>S</v>
      </c>
    </row>
    <row r="289" spans="1:14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  <c r="M289">
        <f t="shared" si="8"/>
        <v>22</v>
      </c>
      <c r="N289" t="str">
        <f t="shared" si="9"/>
        <v>S</v>
      </c>
    </row>
    <row r="290" spans="1:14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  <c r="M290">
        <f t="shared" si="8"/>
        <v>42</v>
      </c>
      <c r="N290" t="str">
        <f t="shared" si="9"/>
        <v>S</v>
      </c>
    </row>
    <row r="291" spans="1:14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  <c r="M291">
        <f t="shared" si="8"/>
        <v>22</v>
      </c>
      <c r="N291" t="str">
        <f t="shared" si="9"/>
        <v>Q</v>
      </c>
    </row>
    <row r="292" spans="1:14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  <c r="M292">
        <f t="shared" si="8"/>
        <v>26</v>
      </c>
      <c r="N292" t="str">
        <f t="shared" si="9"/>
        <v>S</v>
      </c>
    </row>
    <row r="293" spans="1:14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  <c r="M293">
        <f t="shared" si="8"/>
        <v>19</v>
      </c>
      <c r="N293" t="str">
        <f t="shared" si="9"/>
        <v>C</v>
      </c>
    </row>
    <row r="294" spans="1:14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  <c r="M294">
        <f t="shared" si="8"/>
        <v>36</v>
      </c>
      <c r="N294" t="str">
        <f t="shared" si="9"/>
        <v>C</v>
      </c>
    </row>
    <row r="295" spans="1:14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  <c r="M295">
        <f t="shared" si="8"/>
        <v>24</v>
      </c>
      <c r="N295" t="str">
        <f t="shared" si="9"/>
        <v>S</v>
      </c>
    </row>
    <row r="296" spans="1:14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  <c r="M296">
        <f t="shared" si="8"/>
        <v>24</v>
      </c>
      <c r="N296" t="str">
        <f t="shared" si="9"/>
        <v>S</v>
      </c>
    </row>
    <row r="297" spans="1:14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  <c r="M297">
        <f t="shared" si="8"/>
        <v>28</v>
      </c>
      <c r="N297" t="str">
        <f t="shared" si="9"/>
        <v>C</v>
      </c>
    </row>
    <row r="298" spans="1:14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  <c r="M298">
        <f t="shared" si="8"/>
        <v>23.5</v>
      </c>
      <c r="N298" t="str">
        <f t="shared" si="9"/>
        <v>C</v>
      </c>
    </row>
    <row r="299" spans="1:14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  <c r="M299">
        <f t="shared" si="8"/>
        <v>2</v>
      </c>
      <c r="N299" t="str">
        <f t="shared" si="9"/>
        <v>S</v>
      </c>
    </row>
    <row r="300" spans="1:14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  <c r="M300">
        <f t="shared" si="8"/>
        <v>28</v>
      </c>
      <c r="N300" t="str">
        <f t="shared" si="9"/>
        <v>S</v>
      </c>
    </row>
    <row r="301" spans="1:14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  <c r="M301">
        <f t="shared" si="8"/>
        <v>50</v>
      </c>
      <c r="N301" t="str">
        <f t="shared" si="9"/>
        <v>C</v>
      </c>
    </row>
    <row r="302" spans="1:14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  <c r="M302">
        <f t="shared" si="8"/>
        <v>28</v>
      </c>
      <c r="N302" t="str">
        <f t="shared" si="9"/>
        <v>Q</v>
      </c>
    </row>
    <row r="303" spans="1:14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  <c r="M303">
        <f t="shared" si="8"/>
        <v>28</v>
      </c>
      <c r="N303" t="str">
        <f t="shared" si="9"/>
        <v>Q</v>
      </c>
    </row>
    <row r="304" spans="1:14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  <c r="M304">
        <f t="shared" si="8"/>
        <v>19</v>
      </c>
      <c r="N304" t="str">
        <f t="shared" si="9"/>
        <v>S</v>
      </c>
    </row>
    <row r="305" spans="1:14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  <c r="M305">
        <f t="shared" si="8"/>
        <v>28</v>
      </c>
      <c r="N305" t="str">
        <f t="shared" si="9"/>
        <v>Q</v>
      </c>
    </row>
    <row r="306" spans="1:14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  <c r="M306">
        <f t="shared" si="8"/>
        <v>28</v>
      </c>
      <c r="N306" t="str">
        <f t="shared" si="9"/>
        <v>S</v>
      </c>
    </row>
    <row r="307" spans="1:14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  <c r="M307">
        <f t="shared" si="8"/>
        <v>0.92</v>
      </c>
      <c r="N307" t="str">
        <f t="shared" si="9"/>
        <v>S</v>
      </c>
    </row>
    <row r="308" spans="1:14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  <c r="M308">
        <f t="shared" si="8"/>
        <v>28</v>
      </c>
      <c r="N308" t="str">
        <f t="shared" si="9"/>
        <v>C</v>
      </c>
    </row>
    <row r="309" spans="1:14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  <c r="M309">
        <f t="shared" si="8"/>
        <v>17</v>
      </c>
      <c r="N309" t="str">
        <f t="shared" si="9"/>
        <v>C</v>
      </c>
    </row>
    <row r="310" spans="1:14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  <c r="M310">
        <f t="shared" si="8"/>
        <v>30</v>
      </c>
      <c r="N310" t="str">
        <f t="shared" si="9"/>
        <v>C</v>
      </c>
    </row>
    <row r="311" spans="1:14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  <c r="M311">
        <f t="shared" si="8"/>
        <v>30</v>
      </c>
      <c r="N311" t="str">
        <f t="shared" si="9"/>
        <v>C</v>
      </c>
    </row>
    <row r="312" spans="1:14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  <c r="M312">
        <f t="shared" si="8"/>
        <v>24</v>
      </c>
      <c r="N312" t="str">
        <f t="shared" si="9"/>
        <v>C</v>
      </c>
    </row>
    <row r="313" spans="1:14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  <c r="M313">
        <f t="shared" si="8"/>
        <v>18</v>
      </c>
      <c r="N313" t="str">
        <f t="shared" si="9"/>
        <v>C</v>
      </c>
    </row>
    <row r="314" spans="1:14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  <c r="M314">
        <f t="shared" si="8"/>
        <v>26</v>
      </c>
      <c r="N314" t="str">
        <f t="shared" si="9"/>
        <v>S</v>
      </c>
    </row>
    <row r="315" spans="1:14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  <c r="M315">
        <f t="shared" si="8"/>
        <v>28</v>
      </c>
      <c r="N315" t="str">
        <f t="shared" si="9"/>
        <v>S</v>
      </c>
    </row>
    <row r="316" spans="1:14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  <c r="M316">
        <f t="shared" si="8"/>
        <v>43</v>
      </c>
      <c r="N316" t="str">
        <f t="shared" si="9"/>
        <v>S</v>
      </c>
    </row>
    <row r="317" spans="1:14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  <c r="M317">
        <f t="shared" si="8"/>
        <v>26</v>
      </c>
      <c r="N317" t="str">
        <f t="shared" si="9"/>
        <v>S</v>
      </c>
    </row>
    <row r="318" spans="1:14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  <c r="M318">
        <f t="shared" si="8"/>
        <v>24</v>
      </c>
      <c r="N318" t="str">
        <f t="shared" si="9"/>
        <v>S</v>
      </c>
    </row>
    <row r="319" spans="1:14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  <c r="M319">
        <f t="shared" si="8"/>
        <v>54</v>
      </c>
      <c r="N319" t="str">
        <f t="shared" si="9"/>
        <v>S</v>
      </c>
    </row>
    <row r="320" spans="1:14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  <c r="M320">
        <f t="shared" si="8"/>
        <v>31</v>
      </c>
      <c r="N320" t="str">
        <f t="shared" si="9"/>
        <v>S</v>
      </c>
    </row>
    <row r="321" spans="1:14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  <c r="M321">
        <f t="shared" si="8"/>
        <v>40</v>
      </c>
      <c r="N321" t="str">
        <f t="shared" si="9"/>
        <v>C</v>
      </c>
    </row>
    <row r="322" spans="1:14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  <c r="M322">
        <f t="shared" si="8"/>
        <v>22</v>
      </c>
      <c r="N322" t="str">
        <f t="shared" si="9"/>
        <v>S</v>
      </c>
    </row>
    <row r="323" spans="1:14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  <c r="M323">
        <f t="shared" ref="M323:M386" si="10">IF(F323="", 28, F323)</f>
        <v>27</v>
      </c>
      <c r="N323" t="str">
        <f t="shared" ref="N323:N386" si="11">IF(L323="", "S", L323)</f>
        <v>S</v>
      </c>
    </row>
    <row r="324" spans="1:14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  <c r="M324">
        <f t="shared" si="10"/>
        <v>30</v>
      </c>
      <c r="N324" t="str">
        <f t="shared" si="11"/>
        <v>Q</v>
      </c>
    </row>
    <row r="325" spans="1:14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  <c r="M325">
        <f t="shared" si="10"/>
        <v>22</v>
      </c>
      <c r="N325" t="str">
        <f t="shared" si="11"/>
        <v>S</v>
      </c>
    </row>
    <row r="326" spans="1:14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  <c r="M326">
        <f t="shared" si="10"/>
        <v>28</v>
      </c>
      <c r="N326" t="str">
        <f t="shared" si="11"/>
        <v>S</v>
      </c>
    </row>
    <row r="327" spans="1:14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  <c r="M327">
        <f t="shared" si="10"/>
        <v>36</v>
      </c>
      <c r="N327" t="str">
        <f t="shared" si="11"/>
        <v>C</v>
      </c>
    </row>
    <row r="328" spans="1:14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  <c r="M328">
        <f t="shared" si="10"/>
        <v>61</v>
      </c>
      <c r="N328" t="str">
        <f t="shared" si="11"/>
        <v>S</v>
      </c>
    </row>
    <row r="329" spans="1:14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  <c r="M329">
        <f t="shared" si="10"/>
        <v>36</v>
      </c>
      <c r="N329" t="str">
        <f t="shared" si="11"/>
        <v>S</v>
      </c>
    </row>
    <row r="330" spans="1:14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  <c r="M330">
        <f t="shared" si="10"/>
        <v>31</v>
      </c>
      <c r="N330" t="str">
        <f t="shared" si="11"/>
        <v>S</v>
      </c>
    </row>
    <row r="331" spans="1:14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  <c r="M331">
        <f t="shared" si="10"/>
        <v>16</v>
      </c>
      <c r="N331" t="str">
        <f t="shared" si="11"/>
        <v>C</v>
      </c>
    </row>
    <row r="332" spans="1:14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  <c r="M332">
        <f t="shared" si="10"/>
        <v>28</v>
      </c>
      <c r="N332" t="str">
        <f t="shared" si="11"/>
        <v>Q</v>
      </c>
    </row>
    <row r="333" spans="1:14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  <c r="M333">
        <f t="shared" si="10"/>
        <v>45.5</v>
      </c>
      <c r="N333" t="str">
        <f t="shared" si="11"/>
        <v>S</v>
      </c>
    </row>
    <row r="334" spans="1:14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  <c r="M334">
        <f t="shared" si="10"/>
        <v>38</v>
      </c>
      <c r="N334" t="str">
        <f t="shared" si="11"/>
        <v>S</v>
      </c>
    </row>
    <row r="335" spans="1:14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  <c r="M335">
        <f t="shared" si="10"/>
        <v>16</v>
      </c>
      <c r="N335" t="str">
        <f t="shared" si="11"/>
        <v>S</v>
      </c>
    </row>
    <row r="336" spans="1:14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  <c r="M336">
        <f t="shared" si="10"/>
        <v>28</v>
      </c>
      <c r="N336" t="str">
        <f t="shared" si="11"/>
        <v>S</v>
      </c>
    </row>
    <row r="337" spans="1:14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  <c r="M337">
        <f t="shared" si="10"/>
        <v>28</v>
      </c>
      <c r="N337" t="str">
        <f t="shared" si="11"/>
        <v>S</v>
      </c>
    </row>
    <row r="338" spans="1:14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  <c r="M338">
        <f t="shared" si="10"/>
        <v>29</v>
      </c>
      <c r="N338" t="str">
        <f t="shared" si="11"/>
        <v>S</v>
      </c>
    </row>
    <row r="339" spans="1:14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  <c r="M339">
        <f t="shared" si="10"/>
        <v>41</v>
      </c>
      <c r="N339" t="str">
        <f t="shared" si="11"/>
        <v>C</v>
      </c>
    </row>
    <row r="340" spans="1:14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  <c r="M340">
        <f t="shared" si="10"/>
        <v>45</v>
      </c>
      <c r="N340" t="str">
        <f t="shared" si="11"/>
        <v>S</v>
      </c>
    </row>
    <row r="341" spans="1:14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  <c r="M341">
        <f t="shared" si="10"/>
        <v>45</v>
      </c>
      <c r="N341" t="str">
        <f t="shared" si="11"/>
        <v>S</v>
      </c>
    </row>
    <row r="342" spans="1:14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  <c r="M342">
        <f t="shared" si="10"/>
        <v>2</v>
      </c>
      <c r="N342" t="str">
        <f t="shared" si="11"/>
        <v>S</v>
      </c>
    </row>
    <row r="343" spans="1:14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  <c r="M343">
        <f t="shared" si="10"/>
        <v>24</v>
      </c>
      <c r="N343" t="str">
        <f t="shared" si="11"/>
        <v>S</v>
      </c>
    </row>
    <row r="344" spans="1:14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  <c r="M344">
        <f t="shared" si="10"/>
        <v>28</v>
      </c>
      <c r="N344" t="str">
        <f t="shared" si="11"/>
        <v>S</v>
      </c>
    </row>
    <row r="345" spans="1:14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  <c r="M345">
        <f t="shared" si="10"/>
        <v>25</v>
      </c>
      <c r="N345" t="str">
        <f t="shared" si="11"/>
        <v>S</v>
      </c>
    </row>
    <row r="346" spans="1:14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  <c r="M346">
        <f t="shared" si="10"/>
        <v>36</v>
      </c>
      <c r="N346" t="str">
        <f t="shared" si="11"/>
        <v>S</v>
      </c>
    </row>
    <row r="347" spans="1:14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  <c r="M347">
        <f t="shared" si="10"/>
        <v>24</v>
      </c>
      <c r="N347" t="str">
        <f t="shared" si="11"/>
        <v>S</v>
      </c>
    </row>
    <row r="348" spans="1:14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  <c r="M348">
        <f t="shared" si="10"/>
        <v>40</v>
      </c>
      <c r="N348" t="str">
        <f t="shared" si="11"/>
        <v>S</v>
      </c>
    </row>
    <row r="349" spans="1:14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  <c r="M349">
        <f t="shared" si="10"/>
        <v>28</v>
      </c>
      <c r="N349" t="str">
        <f t="shared" si="11"/>
        <v>S</v>
      </c>
    </row>
    <row r="350" spans="1:14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  <c r="M350">
        <f t="shared" si="10"/>
        <v>3</v>
      </c>
      <c r="N350" t="str">
        <f t="shared" si="11"/>
        <v>S</v>
      </c>
    </row>
    <row r="351" spans="1:14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  <c r="M351">
        <f t="shared" si="10"/>
        <v>42</v>
      </c>
      <c r="N351" t="str">
        <f t="shared" si="11"/>
        <v>S</v>
      </c>
    </row>
    <row r="352" spans="1:14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  <c r="M352">
        <f t="shared" si="10"/>
        <v>23</v>
      </c>
      <c r="N352" t="str">
        <f t="shared" si="11"/>
        <v>S</v>
      </c>
    </row>
    <row r="353" spans="1:14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  <c r="M353">
        <f t="shared" si="10"/>
        <v>28</v>
      </c>
      <c r="N353" t="str">
        <f t="shared" si="11"/>
        <v>S</v>
      </c>
    </row>
    <row r="354" spans="1:14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  <c r="M354">
        <f t="shared" si="10"/>
        <v>15</v>
      </c>
      <c r="N354" t="str">
        <f t="shared" si="11"/>
        <v>C</v>
      </c>
    </row>
    <row r="355" spans="1:14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  <c r="M355">
        <f t="shared" si="10"/>
        <v>25</v>
      </c>
      <c r="N355" t="str">
        <f t="shared" si="11"/>
        <v>S</v>
      </c>
    </row>
    <row r="356" spans="1:14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  <c r="M356">
        <f t="shared" si="10"/>
        <v>28</v>
      </c>
      <c r="N356" t="str">
        <f t="shared" si="11"/>
        <v>C</v>
      </c>
    </row>
    <row r="357" spans="1:14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  <c r="M357">
        <f t="shared" si="10"/>
        <v>28</v>
      </c>
      <c r="N357" t="str">
        <f t="shared" si="11"/>
        <v>S</v>
      </c>
    </row>
    <row r="358" spans="1:14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  <c r="M358">
        <f t="shared" si="10"/>
        <v>22</v>
      </c>
      <c r="N358" t="str">
        <f t="shared" si="11"/>
        <v>S</v>
      </c>
    </row>
    <row r="359" spans="1:14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  <c r="M359">
        <f t="shared" si="10"/>
        <v>38</v>
      </c>
      <c r="N359" t="str">
        <f t="shared" si="11"/>
        <v>S</v>
      </c>
    </row>
    <row r="360" spans="1:14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  <c r="M360">
        <f t="shared" si="10"/>
        <v>28</v>
      </c>
      <c r="N360" t="str">
        <f t="shared" si="11"/>
        <v>Q</v>
      </c>
    </row>
    <row r="361" spans="1:14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  <c r="M361">
        <f t="shared" si="10"/>
        <v>28</v>
      </c>
      <c r="N361" t="str">
        <f t="shared" si="11"/>
        <v>Q</v>
      </c>
    </row>
    <row r="362" spans="1:14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  <c r="M362">
        <f t="shared" si="10"/>
        <v>40</v>
      </c>
      <c r="N362" t="str">
        <f t="shared" si="11"/>
        <v>S</v>
      </c>
    </row>
    <row r="363" spans="1:14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  <c r="M363">
        <f t="shared" si="10"/>
        <v>29</v>
      </c>
      <c r="N363" t="str">
        <f t="shared" si="11"/>
        <v>C</v>
      </c>
    </row>
    <row r="364" spans="1:14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  <c r="M364">
        <f t="shared" si="10"/>
        <v>45</v>
      </c>
      <c r="N364" t="str">
        <f t="shared" si="11"/>
        <v>C</v>
      </c>
    </row>
    <row r="365" spans="1:14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  <c r="M365">
        <f t="shared" si="10"/>
        <v>35</v>
      </c>
      <c r="N365" t="str">
        <f t="shared" si="11"/>
        <v>S</v>
      </c>
    </row>
    <row r="366" spans="1:14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  <c r="M366">
        <f t="shared" si="10"/>
        <v>28</v>
      </c>
      <c r="N366" t="str">
        <f t="shared" si="11"/>
        <v>Q</v>
      </c>
    </row>
    <row r="367" spans="1:14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  <c r="M367">
        <f t="shared" si="10"/>
        <v>30</v>
      </c>
      <c r="N367" t="str">
        <f t="shared" si="11"/>
        <v>S</v>
      </c>
    </row>
    <row r="368" spans="1:14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  <c r="M368">
        <f t="shared" si="10"/>
        <v>60</v>
      </c>
      <c r="N368" t="str">
        <f t="shared" si="11"/>
        <v>C</v>
      </c>
    </row>
    <row r="369" spans="1:14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  <c r="M369">
        <f t="shared" si="10"/>
        <v>28</v>
      </c>
      <c r="N369" t="str">
        <f t="shared" si="11"/>
        <v>C</v>
      </c>
    </row>
    <row r="370" spans="1:14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  <c r="M370">
        <f t="shared" si="10"/>
        <v>28</v>
      </c>
      <c r="N370" t="str">
        <f t="shared" si="11"/>
        <v>Q</v>
      </c>
    </row>
    <row r="371" spans="1:14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  <c r="M371">
        <f t="shared" si="10"/>
        <v>24</v>
      </c>
      <c r="N371" t="str">
        <f t="shared" si="11"/>
        <v>C</v>
      </c>
    </row>
    <row r="372" spans="1:14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  <c r="M372">
        <f t="shared" si="10"/>
        <v>25</v>
      </c>
      <c r="N372" t="str">
        <f t="shared" si="11"/>
        <v>C</v>
      </c>
    </row>
    <row r="373" spans="1:14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  <c r="M373">
        <f t="shared" si="10"/>
        <v>18</v>
      </c>
      <c r="N373" t="str">
        <f t="shared" si="11"/>
        <v>S</v>
      </c>
    </row>
    <row r="374" spans="1:14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  <c r="M374">
        <f t="shared" si="10"/>
        <v>19</v>
      </c>
      <c r="N374" t="str">
        <f t="shared" si="11"/>
        <v>S</v>
      </c>
    </row>
    <row r="375" spans="1:14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  <c r="M375">
        <f t="shared" si="10"/>
        <v>22</v>
      </c>
      <c r="N375" t="str">
        <f t="shared" si="11"/>
        <v>C</v>
      </c>
    </row>
    <row r="376" spans="1:14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  <c r="M376">
        <f t="shared" si="10"/>
        <v>3</v>
      </c>
      <c r="N376" t="str">
        <f t="shared" si="11"/>
        <v>S</v>
      </c>
    </row>
    <row r="377" spans="1:14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  <c r="M377">
        <f t="shared" si="10"/>
        <v>28</v>
      </c>
      <c r="N377" t="str">
        <f t="shared" si="11"/>
        <v>C</v>
      </c>
    </row>
    <row r="378" spans="1:14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  <c r="M378">
        <f t="shared" si="10"/>
        <v>22</v>
      </c>
      <c r="N378" t="str">
        <f t="shared" si="11"/>
        <v>S</v>
      </c>
    </row>
    <row r="379" spans="1:14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  <c r="M379">
        <f t="shared" si="10"/>
        <v>27</v>
      </c>
      <c r="N379" t="str">
        <f t="shared" si="11"/>
        <v>C</v>
      </c>
    </row>
    <row r="380" spans="1:14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  <c r="M380">
        <f t="shared" si="10"/>
        <v>20</v>
      </c>
      <c r="N380" t="str">
        <f t="shared" si="11"/>
        <v>C</v>
      </c>
    </row>
    <row r="381" spans="1:14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  <c r="M381">
        <f t="shared" si="10"/>
        <v>19</v>
      </c>
      <c r="N381" t="str">
        <f t="shared" si="11"/>
        <v>S</v>
      </c>
    </row>
    <row r="382" spans="1:14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  <c r="M382">
        <f t="shared" si="10"/>
        <v>42</v>
      </c>
      <c r="N382" t="str">
        <f t="shared" si="11"/>
        <v>C</v>
      </c>
    </row>
    <row r="383" spans="1:14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  <c r="M383">
        <f t="shared" si="10"/>
        <v>1</v>
      </c>
      <c r="N383" t="str">
        <f t="shared" si="11"/>
        <v>C</v>
      </c>
    </row>
    <row r="384" spans="1:14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  <c r="M384">
        <f t="shared" si="10"/>
        <v>32</v>
      </c>
      <c r="N384" t="str">
        <f t="shared" si="11"/>
        <v>S</v>
      </c>
    </row>
    <row r="385" spans="1:14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  <c r="M385">
        <f t="shared" si="10"/>
        <v>35</v>
      </c>
      <c r="N385" t="str">
        <f t="shared" si="11"/>
        <v>S</v>
      </c>
    </row>
    <row r="386" spans="1:14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  <c r="M386">
        <f t="shared" si="10"/>
        <v>28</v>
      </c>
      <c r="N386" t="str">
        <f t="shared" si="11"/>
        <v>S</v>
      </c>
    </row>
    <row r="387" spans="1:14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  <c r="M387">
        <f t="shared" ref="M387:M450" si="12">IF(F387="", 28, F387)</f>
        <v>18</v>
      </c>
      <c r="N387" t="str">
        <f t="shared" ref="N387:N450" si="13">IF(L387="", "S", L387)</f>
        <v>S</v>
      </c>
    </row>
    <row r="388" spans="1:14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  <c r="M388">
        <f t="shared" si="12"/>
        <v>1</v>
      </c>
      <c r="N388" t="str">
        <f t="shared" si="13"/>
        <v>S</v>
      </c>
    </row>
    <row r="389" spans="1:14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  <c r="M389">
        <f t="shared" si="12"/>
        <v>36</v>
      </c>
      <c r="N389" t="str">
        <f t="shared" si="13"/>
        <v>S</v>
      </c>
    </row>
    <row r="390" spans="1:14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  <c r="M390">
        <f t="shared" si="12"/>
        <v>28</v>
      </c>
      <c r="N390" t="str">
        <f t="shared" si="13"/>
        <v>Q</v>
      </c>
    </row>
    <row r="391" spans="1:14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  <c r="M391">
        <f t="shared" si="12"/>
        <v>17</v>
      </c>
      <c r="N391" t="str">
        <f t="shared" si="13"/>
        <v>C</v>
      </c>
    </row>
    <row r="392" spans="1:14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  <c r="M392">
        <f t="shared" si="12"/>
        <v>36</v>
      </c>
      <c r="N392" t="str">
        <f t="shared" si="13"/>
        <v>S</v>
      </c>
    </row>
    <row r="393" spans="1:14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  <c r="M393">
        <f t="shared" si="12"/>
        <v>21</v>
      </c>
      <c r="N393" t="str">
        <f t="shared" si="13"/>
        <v>S</v>
      </c>
    </row>
    <row r="394" spans="1:14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  <c r="M394">
        <f t="shared" si="12"/>
        <v>28</v>
      </c>
      <c r="N394" t="str">
        <f t="shared" si="13"/>
        <v>S</v>
      </c>
    </row>
    <row r="395" spans="1:14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  <c r="M395">
        <f t="shared" si="12"/>
        <v>23</v>
      </c>
      <c r="N395" t="str">
        <f t="shared" si="13"/>
        <v>C</v>
      </c>
    </row>
    <row r="396" spans="1:14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  <c r="M396">
        <f t="shared" si="12"/>
        <v>24</v>
      </c>
      <c r="N396" t="str">
        <f t="shared" si="13"/>
        <v>S</v>
      </c>
    </row>
    <row r="397" spans="1:14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  <c r="M397">
        <f t="shared" si="12"/>
        <v>22</v>
      </c>
      <c r="N397" t="str">
        <f t="shared" si="13"/>
        <v>S</v>
      </c>
    </row>
    <row r="398" spans="1:14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  <c r="M398">
        <f t="shared" si="12"/>
        <v>31</v>
      </c>
      <c r="N398" t="str">
        <f t="shared" si="13"/>
        <v>S</v>
      </c>
    </row>
    <row r="399" spans="1:14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  <c r="M399">
        <f t="shared" si="12"/>
        <v>46</v>
      </c>
      <c r="N399" t="str">
        <f t="shared" si="13"/>
        <v>S</v>
      </c>
    </row>
    <row r="400" spans="1:14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  <c r="M400">
        <f t="shared" si="12"/>
        <v>23</v>
      </c>
      <c r="N400" t="str">
        <f t="shared" si="13"/>
        <v>S</v>
      </c>
    </row>
    <row r="401" spans="1:14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  <c r="M401">
        <f t="shared" si="12"/>
        <v>28</v>
      </c>
      <c r="N401" t="str">
        <f t="shared" si="13"/>
        <v>S</v>
      </c>
    </row>
    <row r="402" spans="1:14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  <c r="M402">
        <f t="shared" si="12"/>
        <v>39</v>
      </c>
      <c r="N402" t="str">
        <f t="shared" si="13"/>
        <v>S</v>
      </c>
    </row>
    <row r="403" spans="1:14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  <c r="M403">
        <f t="shared" si="12"/>
        <v>26</v>
      </c>
      <c r="N403" t="str">
        <f t="shared" si="13"/>
        <v>S</v>
      </c>
    </row>
    <row r="404" spans="1:14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  <c r="M404">
        <f t="shared" si="12"/>
        <v>21</v>
      </c>
      <c r="N404" t="str">
        <f t="shared" si="13"/>
        <v>S</v>
      </c>
    </row>
    <row r="405" spans="1:14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  <c r="M405">
        <f t="shared" si="12"/>
        <v>28</v>
      </c>
      <c r="N405" t="str">
        <f t="shared" si="13"/>
        <v>S</v>
      </c>
    </row>
    <row r="406" spans="1:14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  <c r="M406">
        <f t="shared" si="12"/>
        <v>20</v>
      </c>
      <c r="N406" t="str">
        <f t="shared" si="13"/>
        <v>S</v>
      </c>
    </row>
    <row r="407" spans="1:14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  <c r="M407">
        <f t="shared" si="12"/>
        <v>34</v>
      </c>
      <c r="N407" t="str">
        <f t="shared" si="13"/>
        <v>S</v>
      </c>
    </row>
    <row r="408" spans="1:14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  <c r="M408">
        <f t="shared" si="12"/>
        <v>51</v>
      </c>
      <c r="N408" t="str">
        <f t="shared" si="13"/>
        <v>S</v>
      </c>
    </row>
    <row r="409" spans="1:14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  <c r="M409">
        <f t="shared" si="12"/>
        <v>3</v>
      </c>
      <c r="N409" t="str">
        <f t="shared" si="13"/>
        <v>S</v>
      </c>
    </row>
    <row r="410" spans="1:14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  <c r="M410">
        <f t="shared" si="12"/>
        <v>21</v>
      </c>
      <c r="N410" t="str">
        <f t="shared" si="13"/>
        <v>S</v>
      </c>
    </row>
    <row r="411" spans="1:14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  <c r="M411">
        <f t="shared" si="12"/>
        <v>28</v>
      </c>
      <c r="N411" t="str">
        <f t="shared" si="13"/>
        <v>S</v>
      </c>
    </row>
    <row r="412" spans="1:14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  <c r="M412">
        <f t="shared" si="12"/>
        <v>28</v>
      </c>
      <c r="N412" t="str">
        <f t="shared" si="13"/>
        <v>S</v>
      </c>
    </row>
    <row r="413" spans="1:14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  <c r="M413">
        <f t="shared" si="12"/>
        <v>28</v>
      </c>
      <c r="N413" t="str">
        <f t="shared" si="13"/>
        <v>Q</v>
      </c>
    </row>
    <row r="414" spans="1:14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  <c r="M414">
        <f t="shared" si="12"/>
        <v>33</v>
      </c>
      <c r="N414" t="str">
        <f t="shared" si="13"/>
        <v>Q</v>
      </c>
    </row>
    <row r="415" spans="1:14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  <c r="M415">
        <f t="shared" si="12"/>
        <v>28</v>
      </c>
      <c r="N415" t="str">
        <f t="shared" si="13"/>
        <v>S</v>
      </c>
    </row>
    <row r="416" spans="1:14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  <c r="M416">
        <f t="shared" si="12"/>
        <v>44</v>
      </c>
      <c r="N416" t="str">
        <f t="shared" si="13"/>
        <v>S</v>
      </c>
    </row>
    <row r="417" spans="1:14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  <c r="M417">
        <f t="shared" si="12"/>
        <v>28</v>
      </c>
      <c r="N417" t="str">
        <f t="shared" si="13"/>
        <v>S</v>
      </c>
    </row>
    <row r="418" spans="1:14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  <c r="M418">
        <f t="shared" si="12"/>
        <v>34</v>
      </c>
      <c r="N418" t="str">
        <f t="shared" si="13"/>
        <v>S</v>
      </c>
    </row>
    <row r="419" spans="1:14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  <c r="M419">
        <f t="shared" si="12"/>
        <v>18</v>
      </c>
      <c r="N419" t="str">
        <f t="shared" si="13"/>
        <v>S</v>
      </c>
    </row>
    <row r="420" spans="1:14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  <c r="M420">
        <f t="shared" si="12"/>
        <v>30</v>
      </c>
      <c r="N420" t="str">
        <f t="shared" si="13"/>
        <v>S</v>
      </c>
    </row>
    <row r="421" spans="1:14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  <c r="M421">
        <f t="shared" si="12"/>
        <v>10</v>
      </c>
      <c r="N421" t="str">
        <f t="shared" si="13"/>
        <v>S</v>
      </c>
    </row>
    <row r="422" spans="1:14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  <c r="M422">
        <f t="shared" si="12"/>
        <v>28</v>
      </c>
      <c r="N422" t="str">
        <f t="shared" si="13"/>
        <v>C</v>
      </c>
    </row>
    <row r="423" spans="1:14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  <c r="M423">
        <f t="shared" si="12"/>
        <v>21</v>
      </c>
      <c r="N423" t="str">
        <f t="shared" si="13"/>
        <v>Q</v>
      </c>
    </row>
    <row r="424" spans="1:14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  <c r="M424">
        <f t="shared" si="12"/>
        <v>29</v>
      </c>
      <c r="N424" t="str">
        <f t="shared" si="13"/>
        <v>S</v>
      </c>
    </row>
    <row r="425" spans="1:14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  <c r="M425">
        <f t="shared" si="12"/>
        <v>28</v>
      </c>
      <c r="N425" t="str">
        <f t="shared" si="13"/>
        <v>S</v>
      </c>
    </row>
    <row r="426" spans="1:14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  <c r="M426">
        <f t="shared" si="12"/>
        <v>18</v>
      </c>
      <c r="N426" t="str">
        <f t="shared" si="13"/>
        <v>S</v>
      </c>
    </row>
    <row r="427" spans="1:14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  <c r="M427">
        <f t="shared" si="12"/>
        <v>28</v>
      </c>
      <c r="N427" t="str">
        <f t="shared" si="13"/>
        <v>S</v>
      </c>
    </row>
    <row r="428" spans="1:14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  <c r="M428">
        <f t="shared" si="12"/>
        <v>28</v>
      </c>
      <c r="N428" t="str">
        <f t="shared" si="13"/>
        <v>S</v>
      </c>
    </row>
    <row r="429" spans="1:14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  <c r="M429">
        <f t="shared" si="12"/>
        <v>19</v>
      </c>
      <c r="N429" t="str">
        <f t="shared" si="13"/>
        <v>S</v>
      </c>
    </row>
    <row r="430" spans="1:14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  <c r="M430">
        <f t="shared" si="12"/>
        <v>28</v>
      </c>
      <c r="N430" t="str">
        <f t="shared" si="13"/>
        <v>Q</v>
      </c>
    </row>
    <row r="431" spans="1:14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  <c r="M431">
        <f t="shared" si="12"/>
        <v>32</v>
      </c>
      <c r="N431" t="str">
        <f t="shared" si="13"/>
        <v>S</v>
      </c>
    </row>
    <row r="432" spans="1:14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  <c r="M432">
        <f t="shared" si="12"/>
        <v>28</v>
      </c>
      <c r="N432" t="str">
        <f t="shared" si="13"/>
        <v>S</v>
      </c>
    </row>
    <row r="433" spans="1:14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  <c r="M433">
        <f t="shared" si="12"/>
        <v>28</v>
      </c>
      <c r="N433" t="str">
        <f t="shared" si="13"/>
        <v>S</v>
      </c>
    </row>
    <row r="434" spans="1:14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  <c r="M434">
        <f t="shared" si="12"/>
        <v>42</v>
      </c>
      <c r="N434" t="str">
        <f t="shared" si="13"/>
        <v>S</v>
      </c>
    </row>
    <row r="435" spans="1:14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  <c r="M435">
        <f t="shared" si="12"/>
        <v>17</v>
      </c>
      <c r="N435" t="str">
        <f t="shared" si="13"/>
        <v>S</v>
      </c>
    </row>
    <row r="436" spans="1:14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  <c r="M436">
        <f t="shared" si="12"/>
        <v>50</v>
      </c>
      <c r="N436" t="str">
        <f t="shared" si="13"/>
        <v>S</v>
      </c>
    </row>
    <row r="437" spans="1:14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  <c r="M437">
        <f t="shared" si="12"/>
        <v>14</v>
      </c>
      <c r="N437" t="str">
        <f t="shared" si="13"/>
        <v>S</v>
      </c>
    </row>
    <row r="438" spans="1:14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  <c r="M438">
        <f t="shared" si="12"/>
        <v>21</v>
      </c>
      <c r="N438" t="str">
        <f t="shared" si="13"/>
        <v>S</v>
      </c>
    </row>
    <row r="439" spans="1:14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  <c r="M439">
        <f t="shared" si="12"/>
        <v>24</v>
      </c>
      <c r="N439" t="str">
        <f t="shared" si="13"/>
        <v>S</v>
      </c>
    </row>
    <row r="440" spans="1:14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  <c r="M440">
        <f t="shared" si="12"/>
        <v>64</v>
      </c>
      <c r="N440" t="str">
        <f t="shared" si="13"/>
        <v>S</v>
      </c>
    </row>
    <row r="441" spans="1:14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  <c r="M441">
        <f t="shared" si="12"/>
        <v>31</v>
      </c>
      <c r="N441" t="str">
        <f t="shared" si="13"/>
        <v>S</v>
      </c>
    </row>
    <row r="442" spans="1:14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  <c r="M442">
        <f t="shared" si="12"/>
        <v>45</v>
      </c>
      <c r="N442" t="str">
        <f t="shared" si="13"/>
        <v>S</v>
      </c>
    </row>
    <row r="443" spans="1:14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  <c r="M443">
        <f t="shared" si="12"/>
        <v>20</v>
      </c>
      <c r="N443" t="str">
        <f t="shared" si="13"/>
        <v>S</v>
      </c>
    </row>
    <row r="444" spans="1:14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  <c r="M444">
        <f t="shared" si="12"/>
        <v>25</v>
      </c>
      <c r="N444" t="str">
        <f t="shared" si="13"/>
        <v>S</v>
      </c>
    </row>
    <row r="445" spans="1:14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  <c r="M445">
        <f t="shared" si="12"/>
        <v>28</v>
      </c>
      <c r="N445" t="str">
        <f t="shared" si="13"/>
        <v>S</v>
      </c>
    </row>
    <row r="446" spans="1:14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  <c r="M446">
        <f t="shared" si="12"/>
        <v>28</v>
      </c>
      <c r="N446" t="str">
        <f t="shared" si="13"/>
        <v>S</v>
      </c>
    </row>
    <row r="447" spans="1:14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  <c r="M447">
        <f t="shared" si="12"/>
        <v>4</v>
      </c>
      <c r="N447" t="str">
        <f t="shared" si="13"/>
        <v>S</v>
      </c>
    </row>
    <row r="448" spans="1:14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  <c r="M448">
        <f t="shared" si="12"/>
        <v>13</v>
      </c>
      <c r="N448" t="str">
        <f t="shared" si="13"/>
        <v>S</v>
      </c>
    </row>
    <row r="449" spans="1:14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  <c r="M449">
        <f t="shared" si="12"/>
        <v>34</v>
      </c>
      <c r="N449" t="str">
        <f t="shared" si="13"/>
        <v>S</v>
      </c>
    </row>
    <row r="450" spans="1:14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  <c r="M450">
        <f t="shared" si="12"/>
        <v>5</v>
      </c>
      <c r="N450" t="str">
        <f t="shared" si="13"/>
        <v>C</v>
      </c>
    </row>
    <row r="451" spans="1:14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  <c r="M451">
        <f t="shared" ref="M451:M514" si="14">IF(F451="", 28, F451)</f>
        <v>52</v>
      </c>
      <c r="N451" t="str">
        <f t="shared" ref="N451:N514" si="15">IF(L451="", "S", L451)</f>
        <v>S</v>
      </c>
    </row>
    <row r="452" spans="1:14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  <c r="M452">
        <f t="shared" si="14"/>
        <v>36</v>
      </c>
      <c r="N452" t="str">
        <f t="shared" si="15"/>
        <v>S</v>
      </c>
    </row>
    <row r="453" spans="1:14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  <c r="M453">
        <f t="shared" si="14"/>
        <v>28</v>
      </c>
      <c r="N453" t="str">
        <f t="shared" si="15"/>
        <v>S</v>
      </c>
    </row>
    <row r="454" spans="1:14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  <c r="M454">
        <f t="shared" si="14"/>
        <v>30</v>
      </c>
      <c r="N454" t="str">
        <f t="shared" si="15"/>
        <v>C</v>
      </c>
    </row>
    <row r="455" spans="1:14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  <c r="M455">
        <f t="shared" si="14"/>
        <v>49</v>
      </c>
      <c r="N455" t="str">
        <f t="shared" si="15"/>
        <v>C</v>
      </c>
    </row>
    <row r="456" spans="1:14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  <c r="M456">
        <f t="shared" si="14"/>
        <v>28</v>
      </c>
      <c r="N456" t="str">
        <f t="shared" si="15"/>
        <v>S</v>
      </c>
    </row>
    <row r="457" spans="1:14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  <c r="M457">
        <f t="shared" si="14"/>
        <v>29</v>
      </c>
      <c r="N457" t="str">
        <f t="shared" si="15"/>
        <v>C</v>
      </c>
    </row>
    <row r="458" spans="1:14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  <c r="M458">
        <f t="shared" si="14"/>
        <v>65</v>
      </c>
      <c r="N458" t="str">
        <f t="shared" si="15"/>
        <v>S</v>
      </c>
    </row>
    <row r="459" spans="1:14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  <c r="M459">
        <f t="shared" si="14"/>
        <v>28</v>
      </c>
      <c r="N459" t="str">
        <f t="shared" si="15"/>
        <v>S</v>
      </c>
    </row>
    <row r="460" spans="1:14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  <c r="M460">
        <f t="shared" si="14"/>
        <v>50</v>
      </c>
      <c r="N460" t="str">
        <f t="shared" si="15"/>
        <v>S</v>
      </c>
    </row>
    <row r="461" spans="1:14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  <c r="M461">
        <f t="shared" si="14"/>
        <v>28</v>
      </c>
      <c r="N461" t="str">
        <f t="shared" si="15"/>
        <v>Q</v>
      </c>
    </row>
    <row r="462" spans="1:14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  <c r="M462">
        <f t="shared" si="14"/>
        <v>48</v>
      </c>
      <c r="N462" t="str">
        <f t="shared" si="15"/>
        <v>S</v>
      </c>
    </row>
    <row r="463" spans="1:14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  <c r="M463">
        <f t="shared" si="14"/>
        <v>34</v>
      </c>
      <c r="N463" t="str">
        <f t="shared" si="15"/>
        <v>S</v>
      </c>
    </row>
    <row r="464" spans="1:14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  <c r="M464">
        <f t="shared" si="14"/>
        <v>47</v>
      </c>
      <c r="N464" t="str">
        <f t="shared" si="15"/>
        <v>S</v>
      </c>
    </row>
    <row r="465" spans="1:14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  <c r="M465">
        <f t="shared" si="14"/>
        <v>48</v>
      </c>
      <c r="N465" t="str">
        <f t="shared" si="15"/>
        <v>S</v>
      </c>
    </row>
    <row r="466" spans="1:14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  <c r="M466">
        <f t="shared" si="14"/>
        <v>28</v>
      </c>
      <c r="N466" t="str">
        <f t="shared" si="15"/>
        <v>S</v>
      </c>
    </row>
    <row r="467" spans="1:14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  <c r="M467">
        <f t="shared" si="14"/>
        <v>38</v>
      </c>
      <c r="N467" t="str">
        <f t="shared" si="15"/>
        <v>S</v>
      </c>
    </row>
    <row r="468" spans="1:14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  <c r="M468">
        <f t="shared" si="14"/>
        <v>28</v>
      </c>
      <c r="N468" t="str">
        <f t="shared" si="15"/>
        <v>S</v>
      </c>
    </row>
    <row r="469" spans="1:14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  <c r="M469">
        <f t="shared" si="14"/>
        <v>56</v>
      </c>
      <c r="N469" t="str">
        <f t="shared" si="15"/>
        <v>S</v>
      </c>
    </row>
    <row r="470" spans="1:14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  <c r="M470">
        <f t="shared" si="14"/>
        <v>28</v>
      </c>
      <c r="N470" t="str">
        <f t="shared" si="15"/>
        <v>Q</v>
      </c>
    </row>
    <row r="471" spans="1:14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  <c r="M471">
        <f t="shared" si="14"/>
        <v>0.75</v>
      </c>
      <c r="N471" t="str">
        <f t="shared" si="15"/>
        <v>C</v>
      </c>
    </row>
    <row r="472" spans="1:14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  <c r="M472">
        <f t="shared" si="14"/>
        <v>28</v>
      </c>
      <c r="N472" t="str">
        <f t="shared" si="15"/>
        <v>S</v>
      </c>
    </row>
    <row r="473" spans="1:14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  <c r="M473">
        <f t="shared" si="14"/>
        <v>38</v>
      </c>
      <c r="N473" t="str">
        <f t="shared" si="15"/>
        <v>S</v>
      </c>
    </row>
    <row r="474" spans="1:14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  <c r="M474">
        <f t="shared" si="14"/>
        <v>33</v>
      </c>
      <c r="N474" t="str">
        <f t="shared" si="15"/>
        <v>S</v>
      </c>
    </row>
    <row r="475" spans="1:14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  <c r="M475">
        <f t="shared" si="14"/>
        <v>23</v>
      </c>
      <c r="N475" t="str">
        <f t="shared" si="15"/>
        <v>C</v>
      </c>
    </row>
    <row r="476" spans="1:14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  <c r="M476">
        <f t="shared" si="14"/>
        <v>22</v>
      </c>
      <c r="N476" t="str">
        <f t="shared" si="15"/>
        <v>S</v>
      </c>
    </row>
    <row r="477" spans="1:14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  <c r="M477">
        <f t="shared" si="14"/>
        <v>28</v>
      </c>
      <c r="N477" t="str">
        <f t="shared" si="15"/>
        <v>S</v>
      </c>
    </row>
    <row r="478" spans="1:14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  <c r="M478">
        <f t="shared" si="14"/>
        <v>34</v>
      </c>
      <c r="N478" t="str">
        <f t="shared" si="15"/>
        <v>S</v>
      </c>
    </row>
    <row r="479" spans="1:14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  <c r="M479">
        <f t="shared" si="14"/>
        <v>29</v>
      </c>
      <c r="N479" t="str">
        <f t="shared" si="15"/>
        <v>S</v>
      </c>
    </row>
    <row r="480" spans="1:14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  <c r="M480">
        <f t="shared" si="14"/>
        <v>22</v>
      </c>
      <c r="N480" t="str">
        <f t="shared" si="15"/>
        <v>S</v>
      </c>
    </row>
    <row r="481" spans="1:14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  <c r="M481">
        <f t="shared" si="14"/>
        <v>2</v>
      </c>
      <c r="N481" t="str">
        <f t="shared" si="15"/>
        <v>S</v>
      </c>
    </row>
    <row r="482" spans="1:14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  <c r="M482">
        <f t="shared" si="14"/>
        <v>9</v>
      </c>
      <c r="N482" t="str">
        <f t="shared" si="15"/>
        <v>S</v>
      </c>
    </row>
    <row r="483" spans="1:14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  <c r="M483">
        <f t="shared" si="14"/>
        <v>28</v>
      </c>
      <c r="N483" t="str">
        <f t="shared" si="15"/>
        <v>S</v>
      </c>
    </row>
    <row r="484" spans="1:14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  <c r="M484">
        <f t="shared" si="14"/>
        <v>50</v>
      </c>
      <c r="N484" t="str">
        <f t="shared" si="15"/>
        <v>S</v>
      </c>
    </row>
    <row r="485" spans="1:14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  <c r="M485">
        <f t="shared" si="14"/>
        <v>63</v>
      </c>
      <c r="N485" t="str">
        <f t="shared" si="15"/>
        <v>S</v>
      </c>
    </row>
    <row r="486" spans="1:14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  <c r="M486">
        <f t="shared" si="14"/>
        <v>25</v>
      </c>
      <c r="N486" t="str">
        <f t="shared" si="15"/>
        <v>C</v>
      </c>
    </row>
    <row r="487" spans="1:14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  <c r="M487">
        <f t="shared" si="14"/>
        <v>28</v>
      </c>
      <c r="N487" t="str">
        <f t="shared" si="15"/>
        <v>S</v>
      </c>
    </row>
    <row r="488" spans="1:14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  <c r="M488">
        <f t="shared" si="14"/>
        <v>35</v>
      </c>
      <c r="N488" t="str">
        <f t="shared" si="15"/>
        <v>S</v>
      </c>
    </row>
    <row r="489" spans="1:14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  <c r="M489">
        <f t="shared" si="14"/>
        <v>58</v>
      </c>
      <c r="N489" t="str">
        <f t="shared" si="15"/>
        <v>C</v>
      </c>
    </row>
    <row r="490" spans="1:14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  <c r="M490">
        <f t="shared" si="14"/>
        <v>30</v>
      </c>
      <c r="N490" t="str">
        <f t="shared" si="15"/>
        <v>S</v>
      </c>
    </row>
    <row r="491" spans="1:14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  <c r="M491">
        <f t="shared" si="14"/>
        <v>9</v>
      </c>
      <c r="N491" t="str">
        <f t="shared" si="15"/>
        <v>S</v>
      </c>
    </row>
    <row r="492" spans="1:14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  <c r="M492">
        <f t="shared" si="14"/>
        <v>28</v>
      </c>
      <c r="N492" t="str">
        <f t="shared" si="15"/>
        <v>S</v>
      </c>
    </row>
    <row r="493" spans="1:14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  <c r="M493">
        <f t="shared" si="14"/>
        <v>21</v>
      </c>
      <c r="N493" t="str">
        <f t="shared" si="15"/>
        <v>S</v>
      </c>
    </row>
    <row r="494" spans="1:14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  <c r="M494">
        <f t="shared" si="14"/>
        <v>55</v>
      </c>
      <c r="N494" t="str">
        <f t="shared" si="15"/>
        <v>S</v>
      </c>
    </row>
    <row r="495" spans="1:14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  <c r="M495">
        <f t="shared" si="14"/>
        <v>71</v>
      </c>
      <c r="N495" t="str">
        <f t="shared" si="15"/>
        <v>C</v>
      </c>
    </row>
    <row r="496" spans="1:14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  <c r="M496">
        <f t="shared" si="14"/>
        <v>21</v>
      </c>
      <c r="N496" t="str">
        <f t="shared" si="15"/>
        <v>S</v>
      </c>
    </row>
    <row r="497" spans="1:14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  <c r="M497">
        <f t="shared" si="14"/>
        <v>28</v>
      </c>
      <c r="N497" t="str">
        <f t="shared" si="15"/>
        <v>C</v>
      </c>
    </row>
    <row r="498" spans="1:14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  <c r="M498">
        <f t="shared" si="14"/>
        <v>54</v>
      </c>
      <c r="N498" t="str">
        <f t="shared" si="15"/>
        <v>C</v>
      </c>
    </row>
    <row r="499" spans="1:14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  <c r="M499">
        <f t="shared" si="14"/>
        <v>28</v>
      </c>
      <c r="N499" t="str">
        <f t="shared" si="15"/>
        <v>S</v>
      </c>
    </row>
    <row r="500" spans="1:14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  <c r="M500">
        <f t="shared" si="14"/>
        <v>25</v>
      </c>
      <c r="N500" t="str">
        <f t="shared" si="15"/>
        <v>S</v>
      </c>
    </row>
    <row r="501" spans="1:14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  <c r="M501">
        <f t="shared" si="14"/>
        <v>24</v>
      </c>
      <c r="N501" t="str">
        <f t="shared" si="15"/>
        <v>S</v>
      </c>
    </row>
    <row r="502" spans="1:14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  <c r="M502">
        <f t="shared" si="14"/>
        <v>17</v>
      </c>
      <c r="N502" t="str">
        <f t="shared" si="15"/>
        <v>S</v>
      </c>
    </row>
    <row r="503" spans="1:14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  <c r="M503">
        <f t="shared" si="14"/>
        <v>21</v>
      </c>
      <c r="N503" t="str">
        <f t="shared" si="15"/>
        <v>Q</v>
      </c>
    </row>
    <row r="504" spans="1:14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  <c r="M504">
        <f t="shared" si="14"/>
        <v>28</v>
      </c>
      <c r="N504" t="str">
        <f t="shared" si="15"/>
        <v>Q</v>
      </c>
    </row>
    <row r="505" spans="1:14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  <c r="M505">
        <f t="shared" si="14"/>
        <v>37</v>
      </c>
      <c r="N505" t="str">
        <f t="shared" si="15"/>
        <v>S</v>
      </c>
    </row>
    <row r="506" spans="1:14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  <c r="M506">
        <f t="shared" si="14"/>
        <v>16</v>
      </c>
      <c r="N506" t="str">
        <f t="shared" si="15"/>
        <v>S</v>
      </c>
    </row>
    <row r="507" spans="1:14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  <c r="M507">
        <f t="shared" si="14"/>
        <v>18</v>
      </c>
      <c r="N507" t="str">
        <f t="shared" si="15"/>
        <v>C</v>
      </c>
    </row>
    <row r="508" spans="1:14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  <c r="M508">
        <f t="shared" si="14"/>
        <v>33</v>
      </c>
      <c r="N508" t="str">
        <f t="shared" si="15"/>
        <v>S</v>
      </c>
    </row>
    <row r="509" spans="1:14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  <c r="M509">
        <f t="shared" si="14"/>
        <v>28</v>
      </c>
      <c r="N509" t="str">
        <f t="shared" si="15"/>
        <v>S</v>
      </c>
    </row>
    <row r="510" spans="1:14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  <c r="M510">
        <f t="shared" si="14"/>
        <v>28</v>
      </c>
      <c r="N510" t="str">
        <f t="shared" si="15"/>
        <v>S</v>
      </c>
    </row>
    <row r="511" spans="1:14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  <c r="M511">
        <f t="shared" si="14"/>
        <v>26</v>
      </c>
      <c r="N511" t="str">
        <f t="shared" si="15"/>
        <v>S</v>
      </c>
    </row>
    <row r="512" spans="1:14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  <c r="M512">
        <f t="shared" si="14"/>
        <v>29</v>
      </c>
      <c r="N512" t="str">
        <f t="shared" si="15"/>
        <v>Q</v>
      </c>
    </row>
    <row r="513" spans="1:14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  <c r="M513">
        <f t="shared" si="14"/>
        <v>28</v>
      </c>
      <c r="N513" t="str">
        <f t="shared" si="15"/>
        <v>S</v>
      </c>
    </row>
    <row r="514" spans="1:14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  <c r="M514">
        <f t="shared" si="14"/>
        <v>36</v>
      </c>
      <c r="N514" t="str">
        <f t="shared" si="15"/>
        <v>S</v>
      </c>
    </row>
    <row r="515" spans="1:14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  <c r="M515">
        <f t="shared" ref="M515:M578" si="16">IF(F515="", 28, F515)</f>
        <v>54</v>
      </c>
      <c r="N515" t="str">
        <f t="shared" ref="N515:N578" si="17">IF(L515="", "S", L515)</f>
        <v>C</v>
      </c>
    </row>
    <row r="516" spans="1:14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  <c r="M516">
        <f t="shared" si="16"/>
        <v>24</v>
      </c>
      <c r="N516" t="str">
        <f t="shared" si="17"/>
        <v>S</v>
      </c>
    </row>
    <row r="517" spans="1:14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  <c r="M517">
        <f t="shared" si="16"/>
        <v>47</v>
      </c>
      <c r="N517" t="str">
        <f t="shared" si="17"/>
        <v>S</v>
      </c>
    </row>
    <row r="518" spans="1:14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  <c r="M518">
        <f t="shared" si="16"/>
        <v>34</v>
      </c>
      <c r="N518" t="str">
        <f t="shared" si="17"/>
        <v>S</v>
      </c>
    </row>
    <row r="519" spans="1:14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  <c r="M519">
        <f t="shared" si="16"/>
        <v>28</v>
      </c>
      <c r="N519" t="str">
        <f t="shared" si="17"/>
        <v>Q</v>
      </c>
    </row>
    <row r="520" spans="1:14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  <c r="M520">
        <f t="shared" si="16"/>
        <v>36</v>
      </c>
      <c r="N520" t="str">
        <f t="shared" si="17"/>
        <v>S</v>
      </c>
    </row>
    <row r="521" spans="1:14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  <c r="M521">
        <f t="shared" si="16"/>
        <v>32</v>
      </c>
      <c r="N521" t="str">
        <f t="shared" si="17"/>
        <v>S</v>
      </c>
    </row>
    <row r="522" spans="1:14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  <c r="M522">
        <f t="shared" si="16"/>
        <v>30</v>
      </c>
      <c r="N522" t="str">
        <f t="shared" si="17"/>
        <v>S</v>
      </c>
    </row>
    <row r="523" spans="1:14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  <c r="M523">
        <f t="shared" si="16"/>
        <v>22</v>
      </c>
      <c r="N523" t="str">
        <f t="shared" si="17"/>
        <v>S</v>
      </c>
    </row>
    <row r="524" spans="1:14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  <c r="M524">
        <f t="shared" si="16"/>
        <v>28</v>
      </c>
      <c r="N524" t="str">
        <f t="shared" si="17"/>
        <v>C</v>
      </c>
    </row>
    <row r="525" spans="1:14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  <c r="M525">
        <f t="shared" si="16"/>
        <v>44</v>
      </c>
      <c r="N525" t="str">
        <f t="shared" si="17"/>
        <v>C</v>
      </c>
    </row>
    <row r="526" spans="1:14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  <c r="M526">
        <f t="shared" si="16"/>
        <v>28</v>
      </c>
      <c r="N526" t="str">
        <f t="shared" si="17"/>
        <v>C</v>
      </c>
    </row>
    <row r="527" spans="1:14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  <c r="M527">
        <f t="shared" si="16"/>
        <v>40.5</v>
      </c>
      <c r="N527" t="str">
        <f t="shared" si="17"/>
        <v>Q</v>
      </c>
    </row>
    <row r="528" spans="1:14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  <c r="M528">
        <f t="shared" si="16"/>
        <v>50</v>
      </c>
      <c r="N528" t="str">
        <f t="shared" si="17"/>
        <v>S</v>
      </c>
    </row>
    <row r="529" spans="1:14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  <c r="M529">
        <f t="shared" si="16"/>
        <v>28</v>
      </c>
      <c r="N529" t="str">
        <f t="shared" si="17"/>
        <v>S</v>
      </c>
    </row>
    <row r="530" spans="1:14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  <c r="M530">
        <f t="shared" si="16"/>
        <v>39</v>
      </c>
      <c r="N530" t="str">
        <f t="shared" si="17"/>
        <v>S</v>
      </c>
    </row>
    <row r="531" spans="1:14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  <c r="M531">
        <f t="shared" si="16"/>
        <v>23</v>
      </c>
      <c r="N531" t="str">
        <f t="shared" si="17"/>
        <v>S</v>
      </c>
    </row>
    <row r="532" spans="1:14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  <c r="M532">
        <f t="shared" si="16"/>
        <v>2</v>
      </c>
      <c r="N532" t="str">
        <f t="shared" si="17"/>
        <v>S</v>
      </c>
    </row>
    <row r="533" spans="1:14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  <c r="M533">
        <f t="shared" si="16"/>
        <v>28</v>
      </c>
      <c r="N533" t="str">
        <f t="shared" si="17"/>
        <v>C</v>
      </c>
    </row>
    <row r="534" spans="1:14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  <c r="M534">
        <f t="shared" si="16"/>
        <v>17</v>
      </c>
      <c r="N534" t="str">
        <f t="shared" si="17"/>
        <v>C</v>
      </c>
    </row>
    <row r="535" spans="1:14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  <c r="M535">
        <f t="shared" si="16"/>
        <v>28</v>
      </c>
      <c r="N535" t="str">
        <f t="shared" si="17"/>
        <v>C</v>
      </c>
    </row>
    <row r="536" spans="1:14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  <c r="M536">
        <f t="shared" si="16"/>
        <v>30</v>
      </c>
      <c r="N536" t="str">
        <f t="shared" si="17"/>
        <v>S</v>
      </c>
    </row>
    <row r="537" spans="1:14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  <c r="M537">
        <f t="shared" si="16"/>
        <v>7</v>
      </c>
      <c r="N537" t="str">
        <f t="shared" si="17"/>
        <v>S</v>
      </c>
    </row>
    <row r="538" spans="1:14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  <c r="M538">
        <f t="shared" si="16"/>
        <v>45</v>
      </c>
      <c r="N538" t="str">
        <f t="shared" si="17"/>
        <v>S</v>
      </c>
    </row>
    <row r="539" spans="1:14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  <c r="M539">
        <f t="shared" si="16"/>
        <v>30</v>
      </c>
      <c r="N539" t="str">
        <f t="shared" si="17"/>
        <v>C</v>
      </c>
    </row>
    <row r="540" spans="1:14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  <c r="M540">
        <f t="shared" si="16"/>
        <v>28</v>
      </c>
      <c r="N540" t="str">
        <f t="shared" si="17"/>
        <v>S</v>
      </c>
    </row>
    <row r="541" spans="1:14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  <c r="M541">
        <f t="shared" si="16"/>
        <v>22</v>
      </c>
      <c r="N541" t="str">
        <f t="shared" si="17"/>
        <v>C</v>
      </c>
    </row>
    <row r="542" spans="1:14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  <c r="M542">
        <f t="shared" si="16"/>
        <v>36</v>
      </c>
      <c r="N542" t="str">
        <f t="shared" si="17"/>
        <v>S</v>
      </c>
    </row>
    <row r="543" spans="1:14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  <c r="M543">
        <f t="shared" si="16"/>
        <v>9</v>
      </c>
      <c r="N543" t="str">
        <f t="shared" si="17"/>
        <v>S</v>
      </c>
    </row>
    <row r="544" spans="1:14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  <c r="M544">
        <f t="shared" si="16"/>
        <v>11</v>
      </c>
      <c r="N544" t="str">
        <f t="shared" si="17"/>
        <v>S</v>
      </c>
    </row>
    <row r="545" spans="1:14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  <c r="M545">
        <f t="shared" si="16"/>
        <v>32</v>
      </c>
      <c r="N545" t="str">
        <f t="shared" si="17"/>
        <v>S</v>
      </c>
    </row>
    <row r="546" spans="1:14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  <c r="M546">
        <f t="shared" si="16"/>
        <v>50</v>
      </c>
      <c r="N546" t="str">
        <f t="shared" si="17"/>
        <v>C</v>
      </c>
    </row>
    <row r="547" spans="1:14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  <c r="M547">
        <f t="shared" si="16"/>
        <v>64</v>
      </c>
      <c r="N547" t="str">
        <f t="shared" si="17"/>
        <v>S</v>
      </c>
    </row>
    <row r="548" spans="1:14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  <c r="M548">
        <f t="shared" si="16"/>
        <v>19</v>
      </c>
      <c r="N548" t="str">
        <f t="shared" si="17"/>
        <v>S</v>
      </c>
    </row>
    <row r="549" spans="1:14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  <c r="M549">
        <f t="shared" si="16"/>
        <v>28</v>
      </c>
      <c r="N549" t="str">
        <f t="shared" si="17"/>
        <v>C</v>
      </c>
    </row>
    <row r="550" spans="1:14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  <c r="M550">
        <f t="shared" si="16"/>
        <v>33</v>
      </c>
      <c r="N550" t="str">
        <f t="shared" si="17"/>
        <v>S</v>
      </c>
    </row>
    <row r="551" spans="1:14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  <c r="M551">
        <f t="shared" si="16"/>
        <v>8</v>
      </c>
      <c r="N551" t="str">
        <f t="shared" si="17"/>
        <v>S</v>
      </c>
    </row>
    <row r="552" spans="1:14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  <c r="M552">
        <f t="shared" si="16"/>
        <v>17</v>
      </c>
      <c r="N552" t="str">
        <f t="shared" si="17"/>
        <v>C</v>
      </c>
    </row>
    <row r="553" spans="1:14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  <c r="M553">
        <f t="shared" si="16"/>
        <v>27</v>
      </c>
      <c r="N553" t="str">
        <f t="shared" si="17"/>
        <v>S</v>
      </c>
    </row>
    <row r="554" spans="1:14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  <c r="M554">
        <f t="shared" si="16"/>
        <v>28</v>
      </c>
      <c r="N554" t="str">
        <f t="shared" si="17"/>
        <v>Q</v>
      </c>
    </row>
    <row r="555" spans="1:14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  <c r="M555">
        <f t="shared" si="16"/>
        <v>22</v>
      </c>
      <c r="N555" t="str">
        <f t="shared" si="17"/>
        <v>C</v>
      </c>
    </row>
    <row r="556" spans="1:14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  <c r="M556">
        <f t="shared" si="16"/>
        <v>22</v>
      </c>
      <c r="N556" t="str">
        <f t="shared" si="17"/>
        <v>S</v>
      </c>
    </row>
    <row r="557" spans="1:14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  <c r="M557">
        <f t="shared" si="16"/>
        <v>62</v>
      </c>
      <c r="N557" t="str">
        <f t="shared" si="17"/>
        <v>S</v>
      </c>
    </row>
    <row r="558" spans="1:14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  <c r="M558">
        <f t="shared" si="16"/>
        <v>48</v>
      </c>
      <c r="N558" t="str">
        <f t="shared" si="17"/>
        <v>C</v>
      </c>
    </row>
    <row r="559" spans="1:14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  <c r="M559">
        <f t="shared" si="16"/>
        <v>28</v>
      </c>
      <c r="N559" t="str">
        <f t="shared" si="17"/>
        <v>C</v>
      </c>
    </row>
    <row r="560" spans="1:14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  <c r="M560">
        <f t="shared" si="16"/>
        <v>39</v>
      </c>
      <c r="N560" t="str">
        <f t="shared" si="17"/>
        <v>S</v>
      </c>
    </row>
    <row r="561" spans="1:14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  <c r="M561">
        <f t="shared" si="16"/>
        <v>36</v>
      </c>
      <c r="N561" t="str">
        <f t="shared" si="17"/>
        <v>S</v>
      </c>
    </row>
    <row r="562" spans="1:14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  <c r="M562">
        <f t="shared" si="16"/>
        <v>28</v>
      </c>
      <c r="N562" t="str">
        <f t="shared" si="17"/>
        <v>Q</v>
      </c>
    </row>
    <row r="563" spans="1:14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  <c r="M563">
        <f t="shared" si="16"/>
        <v>40</v>
      </c>
      <c r="N563" t="str">
        <f t="shared" si="17"/>
        <v>S</v>
      </c>
    </row>
    <row r="564" spans="1:14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  <c r="M564">
        <f t="shared" si="16"/>
        <v>28</v>
      </c>
      <c r="N564" t="str">
        <f t="shared" si="17"/>
        <v>S</v>
      </c>
    </row>
    <row r="565" spans="1:14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  <c r="M565">
        <f t="shared" si="16"/>
        <v>28</v>
      </c>
      <c r="N565" t="str">
        <f t="shared" si="17"/>
        <v>S</v>
      </c>
    </row>
    <row r="566" spans="1:14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  <c r="M566">
        <f t="shared" si="16"/>
        <v>28</v>
      </c>
      <c r="N566" t="str">
        <f t="shared" si="17"/>
        <v>S</v>
      </c>
    </row>
    <row r="567" spans="1:14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  <c r="M567">
        <f t="shared" si="16"/>
        <v>24</v>
      </c>
      <c r="N567" t="str">
        <f t="shared" si="17"/>
        <v>S</v>
      </c>
    </row>
    <row r="568" spans="1:14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  <c r="M568">
        <f t="shared" si="16"/>
        <v>19</v>
      </c>
      <c r="N568" t="str">
        <f t="shared" si="17"/>
        <v>S</v>
      </c>
    </row>
    <row r="569" spans="1:14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  <c r="M569">
        <f t="shared" si="16"/>
        <v>29</v>
      </c>
      <c r="N569" t="str">
        <f t="shared" si="17"/>
        <v>S</v>
      </c>
    </row>
    <row r="570" spans="1:14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  <c r="M570">
        <f t="shared" si="16"/>
        <v>28</v>
      </c>
      <c r="N570" t="str">
        <f t="shared" si="17"/>
        <v>C</v>
      </c>
    </row>
    <row r="571" spans="1:14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  <c r="M571">
        <f t="shared" si="16"/>
        <v>32</v>
      </c>
      <c r="N571" t="str">
        <f t="shared" si="17"/>
        <v>S</v>
      </c>
    </row>
    <row r="572" spans="1:14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  <c r="M572">
        <f t="shared" si="16"/>
        <v>62</v>
      </c>
      <c r="N572" t="str">
        <f t="shared" si="17"/>
        <v>S</v>
      </c>
    </row>
    <row r="573" spans="1:14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  <c r="M573">
        <f t="shared" si="16"/>
        <v>53</v>
      </c>
      <c r="N573" t="str">
        <f t="shared" si="17"/>
        <v>S</v>
      </c>
    </row>
    <row r="574" spans="1:14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  <c r="M574">
        <f t="shared" si="16"/>
        <v>36</v>
      </c>
      <c r="N574" t="str">
        <f t="shared" si="17"/>
        <v>S</v>
      </c>
    </row>
    <row r="575" spans="1:14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  <c r="M575">
        <f t="shared" si="16"/>
        <v>28</v>
      </c>
      <c r="N575" t="str">
        <f t="shared" si="17"/>
        <v>Q</v>
      </c>
    </row>
    <row r="576" spans="1:14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  <c r="M576">
        <f t="shared" si="16"/>
        <v>16</v>
      </c>
      <c r="N576" t="str">
        <f t="shared" si="17"/>
        <v>S</v>
      </c>
    </row>
    <row r="577" spans="1:14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  <c r="M577">
        <f t="shared" si="16"/>
        <v>19</v>
      </c>
      <c r="N577" t="str">
        <f t="shared" si="17"/>
        <v>S</v>
      </c>
    </row>
    <row r="578" spans="1:14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  <c r="M578">
        <f t="shared" si="16"/>
        <v>34</v>
      </c>
      <c r="N578" t="str">
        <f t="shared" si="17"/>
        <v>S</v>
      </c>
    </row>
    <row r="579" spans="1:14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  <c r="M579">
        <f t="shared" ref="M579:M642" si="18">IF(F579="", 28, F579)</f>
        <v>39</v>
      </c>
      <c r="N579" t="str">
        <f t="shared" ref="N579:N642" si="19">IF(L579="", "S", L579)</f>
        <v>S</v>
      </c>
    </row>
    <row r="580" spans="1:14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  <c r="M580">
        <f t="shared" si="18"/>
        <v>28</v>
      </c>
      <c r="N580" t="str">
        <f t="shared" si="19"/>
        <v>C</v>
      </c>
    </row>
    <row r="581" spans="1:14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  <c r="M581">
        <f t="shared" si="18"/>
        <v>32</v>
      </c>
      <c r="N581" t="str">
        <f t="shared" si="19"/>
        <v>S</v>
      </c>
    </row>
    <row r="582" spans="1:14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  <c r="M582">
        <f t="shared" si="18"/>
        <v>25</v>
      </c>
      <c r="N582" t="str">
        <f t="shared" si="19"/>
        <v>S</v>
      </c>
    </row>
    <row r="583" spans="1:14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  <c r="M583">
        <f t="shared" si="18"/>
        <v>39</v>
      </c>
      <c r="N583" t="str">
        <f t="shared" si="19"/>
        <v>C</v>
      </c>
    </row>
    <row r="584" spans="1:14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  <c r="M584">
        <f t="shared" si="18"/>
        <v>54</v>
      </c>
      <c r="N584" t="str">
        <f t="shared" si="19"/>
        <v>S</v>
      </c>
    </row>
    <row r="585" spans="1:14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  <c r="M585">
        <f t="shared" si="18"/>
        <v>36</v>
      </c>
      <c r="N585" t="str">
        <f t="shared" si="19"/>
        <v>C</v>
      </c>
    </row>
    <row r="586" spans="1:14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  <c r="M586">
        <f t="shared" si="18"/>
        <v>28</v>
      </c>
      <c r="N586" t="str">
        <f t="shared" si="19"/>
        <v>C</v>
      </c>
    </row>
    <row r="587" spans="1:14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  <c r="M587">
        <f t="shared" si="18"/>
        <v>18</v>
      </c>
      <c r="N587" t="str">
        <f t="shared" si="19"/>
        <v>S</v>
      </c>
    </row>
    <row r="588" spans="1:14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  <c r="M588">
        <f t="shared" si="18"/>
        <v>47</v>
      </c>
      <c r="N588" t="str">
        <f t="shared" si="19"/>
        <v>S</v>
      </c>
    </row>
    <row r="589" spans="1:14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  <c r="M589">
        <f t="shared" si="18"/>
        <v>60</v>
      </c>
      <c r="N589" t="str">
        <f t="shared" si="19"/>
        <v>C</v>
      </c>
    </row>
    <row r="590" spans="1:14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  <c r="M590">
        <f t="shared" si="18"/>
        <v>22</v>
      </c>
      <c r="N590" t="str">
        <f t="shared" si="19"/>
        <v>S</v>
      </c>
    </row>
    <row r="591" spans="1:14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  <c r="M591">
        <f t="shared" si="18"/>
        <v>28</v>
      </c>
      <c r="N591" t="str">
        <f t="shared" si="19"/>
        <v>S</v>
      </c>
    </row>
    <row r="592" spans="1:14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  <c r="M592">
        <f t="shared" si="18"/>
        <v>35</v>
      </c>
      <c r="N592" t="str">
        <f t="shared" si="19"/>
        <v>S</v>
      </c>
    </row>
    <row r="593" spans="1:14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  <c r="M593">
        <f t="shared" si="18"/>
        <v>52</v>
      </c>
      <c r="N593" t="str">
        <f t="shared" si="19"/>
        <v>C</v>
      </c>
    </row>
    <row r="594" spans="1:14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  <c r="M594">
        <f t="shared" si="18"/>
        <v>47</v>
      </c>
      <c r="N594" t="str">
        <f t="shared" si="19"/>
        <v>S</v>
      </c>
    </row>
    <row r="595" spans="1:14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  <c r="M595">
        <f t="shared" si="18"/>
        <v>28</v>
      </c>
      <c r="N595" t="str">
        <f t="shared" si="19"/>
        <v>Q</v>
      </c>
    </row>
    <row r="596" spans="1:14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  <c r="M596">
        <f t="shared" si="18"/>
        <v>37</v>
      </c>
      <c r="N596" t="str">
        <f t="shared" si="19"/>
        <v>S</v>
      </c>
    </row>
    <row r="597" spans="1:14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  <c r="M597">
        <f t="shared" si="18"/>
        <v>36</v>
      </c>
      <c r="N597" t="str">
        <f t="shared" si="19"/>
        <v>S</v>
      </c>
    </row>
    <row r="598" spans="1:14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  <c r="M598">
        <f t="shared" si="18"/>
        <v>28</v>
      </c>
      <c r="N598" t="str">
        <f t="shared" si="19"/>
        <v>S</v>
      </c>
    </row>
    <row r="599" spans="1:14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  <c r="M599">
        <f t="shared" si="18"/>
        <v>49</v>
      </c>
      <c r="N599" t="str">
        <f t="shared" si="19"/>
        <v>S</v>
      </c>
    </row>
    <row r="600" spans="1:14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  <c r="M600">
        <f t="shared" si="18"/>
        <v>28</v>
      </c>
      <c r="N600" t="str">
        <f t="shared" si="19"/>
        <v>C</v>
      </c>
    </row>
    <row r="601" spans="1:14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  <c r="M601">
        <f t="shared" si="18"/>
        <v>49</v>
      </c>
      <c r="N601" t="str">
        <f t="shared" si="19"/>
        <v>C</v>
      </c>
    </row>
    <row r="602" spans="1:14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  <c r="M602">
        <f t="shared" si="18"/>
        <v>24</v>
      </c>
      <c r="N602" t="str">
        <f t="shared" si="19"/>
        <v>S</v>
      </c>
    </row>
    <row r="603" spans="1:14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  <c r="M603">
        <f t="shared" si="18"/>
        <v>28</v>
      </c>
      <c r="N603" t="str">
        <f t="shared" si="19"/>
        <v>S</v>
      </c>
    </row>
    <row r="604" spans="1:14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  <c r="M604">
        <f t="shared" si="18"/>
        <v>28</v>
      </c>
      <c r="N604" t="str">
        <f t="shared" si="19"/>
        <v>S</v>
      </c>
    </row>
    <row r="605" spans="1:14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  <c r="M605">
        <f t="shared" si="18"/>
        <v>44</v>
      </c>
      <c r="N605" t="str">
        <f t="shared" si="19"/>
        <v>S</v>
      </c>
    </row>
    <row r="606" spans="1:14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  <c r="M606">
        <f t="shared" si="18"/>
        <v>35</v>
      </c>
      <c r="N606" t="str">
        <f t="shared" si="19"/>
        <v>C</v>
      </c>
    </row>
    <row r="607" spans="1:14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  <c r="M607">
        <f t="shared" si="18"/>
        <v>36</v>
      </c>
      <c r="N607" t="str">
        <f t="shared" si="19"/>
        <v>S</v>
      </c>
    </row>
    <row r="608" spans="1:14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  <c r="M608">
        <f t="shared" si="18"/>
        <v>30</v>
      </c>
      <c r="N608" t="str">
        <f t="shared" si="19"/>
        <v>S</v>
      </c>
    </row>
    <row r="609" spans="1:14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  <c r="M609">
        <f t="shared" si="18"/>
        <v>27</v>
      </c>
      <c r="N609" t="str">
        <f t="shared" si="19"/>
        <v>S</v>
      </c>
    </row>
    <row r="610" spans="1:14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  <c r="M610">
        <f t="shared" si="18"/>
        <v>22</v>
      </c>
      <c r="N610" t="str">
        <f t="shared" si="19"/>
        <v>C</v>
      </c>
    </row>
    <row r="611" spans="1:14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  <c r="M611">
        <f t="shared" si="18"/>
        <v>40</v>
      </c>
      <c r="N611" t="str">
        <f t="shared" si="19"/>
        <v>S</v>
      </c>
    </row>
    <row r="612" spans="1:14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  <c r="M612">
        <f t="shared" si="18"/>
        <v>39</v>
      </c>
      <c r="N612" t="str">
        <f t="shared" si="19"/>
        <v>S</v>
      </c>
    </row>
    <row r="613" spans="1:14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  <c r="M613">
        <f t="shared" si="18"/>
        <v>28</v>
      </c>
      <c r="N613" t="str">
        <f t="shared" si="19"/>
        <v>S</v>
      </c>
    </row>
    <row r="614" spans="1:14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  <c r="M614">
        <f t="shared" si="18"/>
        <v>28</v>
      </c>
      <c r="N614" t="str">
        <f t="shared" si="19"/>
        <v>Q</v>
      </c>
    </row>
    <row r="615" spans="1:14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  <c r="M615">
        <f t="shared" si="18"/>
        <v>28</v>
      </c>
      <c r="N615" t="str">
        <f t="shared" si="19"/>
        <v>Q</v>
      </c>
    </row>
    <row r="616" spans="1:14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  <c r="M616">
        <f t="shared" si="18"/>
        <v>35</v>
      </c>
      <c r="N616" t="str">
        <f t="shared" si="19"/>
        <v>S</v>
      </c>
    </row>
    <row r="617" spans="1:14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  <c r="M617">
        <f t="shared" si="18"/>
        <v>24</v>
      </c>
      <c r="N617" t="str">
        <f t="shared" si="19"/>
        <v>S</v>
      </c>
    </row>
    <row r="618" spans="1:14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  <c r="M618">
        <f t="shared" si="18"/>
        <v>34</v>
      </c>
      <c r="N618" t="str">
        <f t="shared" si="19"/>
        <v>S</v>
      </c>
    </row>
    <row r="619" spans="1:14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  <c r="M619">
        <f t="shared" si="18"/>
        <v>26</v>
      </c>
      <c r="N619" t="str">
        <f t="shared" si="19"/>
        <v>S</v>
      </c>
    </row>
    <row r="620" spans="1:14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  <c r="M620">
        <f t="shared" si="18"/>
        <v>4</v>
      </c>
      <c r="N620" t="str">
        <f t="shared" si="19"/>
        <v>S</v>
      </c>
    </row>
    <row r="621" spans="1:14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  <c r="M621">
        <f t="shared" si="18"/>
        <v>26</v>
      </c>
      <c r="N621" t="str">
        <f t="shared" si="19"/>
        <v>S</v>
      </c>
    </row>
    <row r="622" spans="1:14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  <c r="M622">
        <f t="shared" si="18"/>
        <v>27</v>
      </c>
      <c r="N622" t="str">
        <f t="shared" si="19"/>
        <v>C</v>
      </c>
    </row>
    <row r="623" spans="1:14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  <c r="M623">
        <f t="shared" si="18"/>
        <v>42</v>
      </c>
      <c r="N623" t="str">
        <f t="shared" si="19"/>
        <v>S</v>
      </c>
    </row>
    <row r="624" spans="1:14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  <c r="M624">
        <f t="shared" si="18"/>
        <v>20</v>
      </c>
      <c r="N624" t="str">
        <f t="shared" si="19"/>
        <v>C</v>
      </c>
    </row>
    <row r="625" spans="1:14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  <c r="M625">
        <f t="shared" si="18"/>
        <v>21</v>
      </c>
      <c r="N625" t="str">
        <f t="shared" si="19"/>
        <v>S</v>
      </c>
    </row>
    <row r="626" spans="1:14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  <c r="M626">
        <f t="shared" si="18"/>
        <v>21</v>
      </c>
      <c r="N626" t="str">
        <f t="shared" si="19"/>
        <v>S</v>
      </c>
    </row>
    <row r="627" spans="1:14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  <c r="M627">
        <f t="shared" si="18"/>
        <v>61</v>
      </c>
      <c r="N627" t="str">
        <f t="shared" si="19"/>
        <v>S</v>
      </c>
    </row>
    <row r="628" spans="1:14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  <c r="M628">
        <f t="shared" si="18"/>
        <v>57</v>
      </c>
      <c r="N628" t="str">
        <f t="shared" si="19"/>
        <v>Q</v>
      </c>
    </row>
    <row r="629" spans="1:14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  <c r="M629">
        <f t="shared" si="18"/>
        <v>21</v>
      </c>
      <c r="N629" t="str">
        <f t="shared" si="19"/>
        <v>S</v>
      </c>
    </row>
    <row r="630" spans="1:14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  <c r="M630">
        <f t="shared" si="18"/>
        <v>26</v>
      </c>
      <c r="N630" t="str">
        <f t="shared" si="19"/>
        <v>S</v>
      </c>
    </row>
    <row r="631" spans="1:14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  <c r="M631">
        <f t="shared" si="18"/>
        <v>28</v>
      </c>
      <c r="N631" t="str">
        <f t="shared" si="19"/>
        <v>Q</v>
      </c>
    </row>
    <row r="632" spans="1:14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  <c r="M632">
        <f t="shared" si="18"/>
        <v>80</v>
      </c>
      <c r="N632" t="str">
        <f t="shared" si="19"/>
        <v>S</v>
      </c>
    </row>
    <row r="633" spans="1:14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  <c r="M633">
        <f t="shared" si="18"/>
        <v>51</v>
      </c>
      <c r="N633" t="str">
        <f t="shared" si="19"/>
        <v>S</v>
      </c>
    </row>
    <row r="634" spans="1:14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  <c r="M634">
        <f t="shared" si="18"/>
        <v>32</v>
      </c>
      <c r="N634" t="str">
        <f t="shared" si="19"/>
        <v>C</v>
      </c>
    </row>
    <row r="635" spans="1:14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  <c r="M635">
        <f t="shared" si="18"/>
        <v>28</v>
      </c>
      <c r="N635" t="str">
        <f t="shared" si="19"/>
        <v>S</v>
      </c>
    </row>
    <row r="636" spans="1:14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  <c r="M636">
        <f t="shared" si="18"/>
        <v>9</v>
      </c>
      <c r="N636" t="str">
        <f t="shared" si="19"/>
        <v>S</v>
      </c>
    </row>
    <row r="637" spans="1:14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  <c r="M637">
        <f t="shared" si="18"/>
        <v>28</v>
      </c>
      <c r="N637" t="str">
        <f t="shared" si="19"/>
        <v>S</v>
      </c>
    </row>
    <row r="638" spans="1:14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  <c r="M638">
        <f t="shared" si="18"/>
        <v>32</v>
      </c>
      <c r="N638" t="str">
        <f t="shared" si="19"/>
        <v>S</v>
      </c>
    </row>
    <row r="639" spans="1:14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  <c r="M639">
        <f t="shared" si="18"/>
        <v>31</v>
      </c>
      <c r="N639" t="str">
        <f t="shared" si="19"/>
        <v>S</v>
      </c>
    </row>
    <row r="640" spans="1:14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  <c r="M640">
        <f t="shared" si="18"/>
        <v>41</v>
      </c>
      <c r="N640" t="str">
        <f t="shared" si="19"/>
        <v>S</v>
      </c>
    </row>
    <row r="641" spans="1:14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  <c r="M641">
        <f t="shared" si="18"/>
        <v>28</v>
      </c>
      <c r="N641" t="str">
        <f t="shared" si="19"/>
        <v>S</v>
      </c>
    </row>
    <row r="642" spans="1:14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  <c r="M642">
        <f t="shared" si="18"/>
        <v>20</v>
      </c>
      <c r="N642" t="str">
        <f t="shared" si="19"/>
        <v>S</v>
      </c>
    </row>
    <row r="643" spans="1:14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  <c r="M643">
        <f t="shared" ref="M643:M706" si="20">IF(F643="", 28, F643)</f>
        <v>24</v>
      </c>
      <c r="N643" t="str">
        <f t="shared" ref="N643:N706" si="21">IF(L643="", "S", L643)</f>
        <v>C</v>
      </c>
    </row>
    <row r="644" spans="1:14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  <c r="M644">
        <f t="shared" si="20"/>
        <v>2</v>
      </c>
      <c r="N644" t="str">
        <f t="shared" si="21"/>
        <v>S</v>
      </c>
    </row>
    <row r="645" spans="1:14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  <c r="M645">
        <f t="shared" si="20"/>
        <v>28</v>
      </c>
      <c r="N645" t="str">
        <f t="shared" si="21"/>
        <v>S</v>
      </c>
    </row>
    <row r="646" spans="1:14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  <c r="M646">
        <f t="shared" si="20"/>
        <v>0.75</v>
      </c>
      <c r="N646" t="str">
        <f t="shared" si="21"/>
        <v>C</v>
      </c>
    </row>
    <row r="647" spans="1:14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  <c r="M647">
        <f t="shared" si="20"/>
        <v>48</v>
      </c>
      <c r="N647" t="str">
        <f t="shared" si="21"/>
        <v>C</v>
      </c>
    </row>
    <row r="648" spans="1:14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  <c r="M648">
        <f t="shared" si="20"/>
        <v>19</v>
      </c>
      <c r="N648" t="str">
        <f t="shared" si="21"/>
        <v>S</v>
      </c>
    </row>
    <row r="649" spans="1:14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  <c r="M649">
        <f t="shared" si="20"/>
        <v>56</v>
      </c>
      <c r="N649" t="str">
        <f t="shared" si="21"/>
        <v>C</v>
      </c>
    </row>
    <row r="650" spans="1:14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  <c r="M650">
        <f t="shared" si="20"/>
        <v>28</v>
      </c>
      <c r="N650" t="str">
        <f t="shared" si="21"/>
        <v>S</v>
      </c>
    </row>
    <row r="651" spans="1:14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  <c r="M651">
        <f t="shared" si="20"/>
        <v>23</v>
      </c>
      <c r="N651" t="str">
        <f t="shared" si="21"/>
        <v>S</v>
      </c>
    </row>
    <row r="652" spans="1:14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  <c r="M652">
        <f t="shared" si="20"/>
        <v>28</v>
      </c>
      <c r="N652" t="str">
        <f t="shared" si="21"/>
        <v>S</v>
      </c>
    </row>
    <row r="653" spans="1:14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  <c r="M653">
        <f t="shared" si="20"/>
        <v>18</v>
      </c>
      <c r="N653" t="str">
        <f t="shared" si="21"/>
        <v>S</v>
      </c>
    </row>
    <row r="654" spans="1:14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  <c r="M654">
        <f t="shared" si="20"/>
        <v>21</v>
      </c>
      <c r="N654" t="str">
        <f t="shared" si="21"/>
        <v>S</v>
      </c>
    </row>
    <row r="655" spans="1:14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  <c r="M655">
        <f t="shared" si="20"/>
        <v>28</v>
      </c>
      <c r="N655" t="str">
        <f t="shared" si="21"/>
        <v>Q</v>
      </c>
    </row>
    <row r="656" spans="1:14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  <c r="M656">
        <f t="shared" si="20"/>
        <v>18</v>
      </c>
      <c r="N656" t="str">
        <f t="shared" si="21"/>
        <v>Q</v>
      </c>
    </row>
    <row r="657" spans="1:14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  <c r="M657">
        <f t="shared" si="20"/>
        <v>24</v>
      </c>
      <c r="N657" t="str">
        <f t="shared" si="21"/>
        <v>S</v>
      </c>
    </row>
    <row r="658" spans="1:14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  <c r="M658">
        <f t="shared" si="20"/>
        <v>28</v>
      </c>
      <c r="N658" t="str">
        <f t="shared" si="21"/>
        <v>S</v>
      </c>
    </row>
    <row r="659" spans="1:14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  <c r="M659">
        <f t="shared" si="20"/>
        <v>32</v>
      </c>
      <c r="N659" t="str">
        <f t="shared" si="21"/>
        <v>Q</v>
      </c>
    </row>
    <row r="660" spans="1:14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  <c r="M660">
        <f t="shared" si="20"/>
        <v>23</v>
      </c>
      <c r="N660" t="str">
        <f t="shared" si="21"/>
        <v>S</v>
      </c>
    </row>
    <row r="661" spans="1:14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  <c r="M661">
        <f t="shared" si="20"/>
        <v>58</v>
      </c>
      <c r="N661" t="str">
        <f t="shared" si="21"/>
        <v>C</v>
      </c>
    </row>
    <row r="662" spans="1:14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  <c r="M662">
        <f t="shared" si="20"/>
        <v>50</v>
      </c>
      <c r="N662" t="str">
        <f t="shared" si="21"/>
        <v>S</v>
      </c>
    </row>
    <row r="663" spans="1:14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  <c r="M663">
        <f t="shared" si="20"/>
        <v>40</v>
      </c>
      <c r="N663" t="str">
        <f t="shared" si="21"/>
        <v>C</v>
      </c>
    </row>
    <row r="664" spans="1:14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  <c r="M664">
        <f t="shared" si="20"/>
        <v>47</v>
      </c>
      <c r="N664" t="str">
        <f t="shared" si="21"/>
        <v>S</v>
      </c>
    </row>
    <row r="665" spans="1:14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  <c r="M665">
        <f t="shared" si="20"/>
        <v>36</v>
      </c>
      <c r="N665" t="str">
        <f t="shared" si="21"/>
        <v>S</v>
      </c>
    </row>
    <row r="666" spans="1:14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  <c r="M666">
        <f t="shared" si="20"/>
        <v>20</v>
      </c>
      <c r="N666" t="str">
        <f t="shared" si="21"/>
        <v>S</v>
      </c>
    </row>
    <row r="667" spans="1:14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  <c r="M667">
        <f t="shared" si="20"/>
        <v>32</v>
      </c>
      <c r="N667" t="str">
        <f t="shared" si="21"/>
        <v>S</v>
      </c>
    </row>
    <row r="668" spans="1:14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  <c r="M668">
        <f t="shared" si="20"/>
        <v>25</v>
      </c>
      <c r="N668" t="str">
        <f t="shared" si="21"/>
        <v>S</v>
      </c>
    </row>
    <row r="669" spans="1:14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  <c r="M669">
        <f t="shared" si="20"/>
        <v>28</v>
      </c>
      <c r="N669" t="str">
        <f t="shared" si="21"/>
        <v>S</v>
      </c>
    </row>
    <row r="670" spans="1:14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  <c r="M670">
        <f t="shared" si="20"/>
        <v>43</v>
      </c>
      <c r="N670" t="str">
        <f t="shared" si="21"/>
        <v>S</v>
      </c>
    </row>
    <row r="671" spans="1:14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  <c r="M671">
        <f t="shared" si="20"/>
        <v>28</v>
      </c>
      <c r="N671" t="str">
        <f t="shared" si="21"/>
        <v>S</v>
      </c>
    </row>
    <row r="672" spans="1:14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  <c r="M672">
        <f t="shared" si="20"/>
        <v>40</v>
      </c>
      <c r="N672" t="str">
        <f t="shared" si="21"/>
        <v>S</v>
      </c>
    </row>
    <row r="673" spans="1:14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  <c r="M673">
        <f t="shared" si="20"/>
        <v>31</v>
      </c>
      <c r="N673" t="str">
        <f t="shared" si="21"/>
        <v>S</v>
      </c>
    </row>
    <row r="674" spans="1:14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  <c r="M674">
        <f t="shared" si="20"/>
        <v>70</v>
      </c>
      <c r="N674" t="str">
        <f t="shared" si="21"/>
        <v>S</v>
      </c>
    </row>
    <row r="675" spans="1:14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  <c r="M675">
        <f t="shared" si="20"/>
        <v>31</v>
      </c>
      <c r="N675" t="str">
        <f t="shared" si="21"/>
        <v>S</v>
      </c>
    </row>
    <row r="676" spans="1:14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  <c r="M676">
        <f t="shared" si="20"/>
        <v>28</v>
      </c>
      <c r="N676" t="str">
        <f t="shared" si="21"/>
        <v>S</v>
      </c>
    </row>
    <row r="677" spans="1:14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  <c r="M677">
        <f t="shared" si="20"/>
        <v>18</v>
      </c>
      <c r="N677" t="str">
        <f t="shared" si="21"/>
        <v>S</v>
      </c>
    </row>
    <row r="678" spans="1:14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  <c r="M678">
        <f t="shared" si="20"/>
        <v>24.5</v>
      </c>
      <c r="N678" t="str">
        <f t="shared" si="21"/>
        <v>S</v>
      </c>
    </row>
    <row r="679" spans="1:14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  <c r="M679">
        <f t="shared" si="20"/>
        <v>18</v>
      </c>
      <c r="N679" t="str">
        <f t="shared" si="21"/>
        <v>S</v>
      </c>
    </row>
    <row r="680" spans="1:14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  <c r="M680">
        <f t="shared" si="20"/>
        <v>43</v>
      </c>
      <c r="N680" t="str">
        <f t="shared" si="21"/>
        <v>S</v>
      </c>
    </row>
    <row r="681" spans="1:14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  <c r="M681">
        <f t="shared" si="20"/>
        <v>36</v>
      </c>
      <c r="N681" t="str">
        <f t="shared" si="21"/>
        <v>C</v>
      </c>
    </row>
    <row r="682" spans="1:14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  <c r="M682">
        <f t="shared" si="20"/>
        <v>28</v>
      </c>
      <c r="N682" t="str">
        <f t="shared" si="21"/>
        <v>Q</v>
      </c>
    </row>
    <row r="683" spans="1:14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  <c r="M683">
        <f t="shared" si="20"/>
        <v>27</v>
      </c>
      <c r="N683" t="str">
        <f t="shared" si="21"/>
        <v>C</v>
      </c>
    </row>
    <row r="684" spans="1:14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  <c r="M684">
        <f t="shared" si="20"/>
        <v>20</v>
      </c>
      <c r="N684" t="str">
        <f t="shared" si="21"/>
        <v>S</v>
      </c>
    </row>
    <row r="685" spans="1:14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  <c r="M685">
        <f t="shared" si="20"/>
        <v>14</v>
      </c>
      <c r="N685" t="str">
        <f t="shared" si="21"/>
        <v>S</v>
      </c>
    </row>
    <row r="686" spans="1:14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  <c r="M686">
        <f t="shared" si="20"/>
        <v>60</v>
      </c>
      <c r="N686" t="str">
        <f t="shared" si="21"/>
        <v>S</v>
      </c>
    </row>
    <row r="687" spans="1:14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  <c r="M687">
        <f t="shared" si="20"/>
        <v>25</v>
      </c>
      <c r="N687" t="str">
        <f t="shared" si="21"/>
        <v>C</v>
      </c>
    </row>
    <row r="688" spans="1:14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  <c r="M688">
        <f t="shared" si="20"/>
        <v>14</v>
      </c>
      <c r="N688" t="str">
        <f t="shared" si="21"/>
        <v>S</v>
      </c>
    </row>
    <row r="689" spans="1:14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  <c r="M689">
        <f t="shared" si="20"/>
        <v>19</v>
      </c>
      <c r="N689" t="str">
        <f t="shared" si="21"/>
        <v>S</v>
      </c>
    </row>
    <row r="690" spans="1:14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  <c r="M690">
        <f t="shared" si="20"/>
        <v>18</v>
      </c>
      <c r="N690" t="str">
        <f t="shared" si="21"/>
        <v>S</v>
      </c>
    </row>
    <row r="691" spans="1:14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  <c r="M691">
        <f t="shared" si="20"/>
        <v>15</v>
      </c>
      <c r="N691" t="str">
        <f t="shared" si="21"/>
        <v>S</v>
      </c>
    </row>
    <row r="692" spans="1:14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  <c r="M692">
        <f t="shared" si="20"/>
        <v>31</v>
      </c>
      <c r="N692" t="str">
        <f t="shared" si="21"/>
        <v>S</v>
      </c>
    </row>
    <row r="693" spans="1:14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  <c r="M693">
        <f t="shared" si="20"/>
        <v>4</v>
      </c>
      <c r="N693" t="str">
        <f t="shared" si="21"/>
        <v>C</v>
      </c>
    </row>
    <row r="694" spans="1:14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  <c r="M694">
        <f t="shared" si="20"/>
        <v>28</v>
      </c>
      <c r="N694" t="str">
        <f t="shared" si="21"/>
        <v>S</v>
      </c>
    </row>
    <row r="695" spans="1:14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  <c r="M695">
        <f t="shared" si="20"/>
        <v>25</v>
      </c>
      <c r="N695" t="str">
        <f t="shared" si="21"/>
        <v>C</v>
      </c>
    </row>
    <row r="696" spans="1:14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  <c r="M696">
        <f t="shared" si="20"/>
        <v>60</v>
      </c>
      <c r="N696" t="str">
        <f t="shared" si="21"/>
        <v>S</v>
      </c>
    </row>
    <row r="697" spans="1:14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  <c r="M697">
        <f t="shared" si="20"/>
        <v>52</v>
      </c>
      <c r="N697" t="str">
        <f t="shared" si="21"/>
        <v>S</v>
      </c>
    </row>
    <row r="698" spans="1:14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  <c r="M698">
        <f t="shared" si="20"/>
        <v>44</v>
      </c>
      <c r="N698" t="str">
        <f t="shared" si="21"/>
        <v>S</v>
      </c>
    </row>
    <row r="699" spans="1:14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  <c r="M699">
        <f t="shared" si="20"/>
        <v>28</v>
      </c>
      <c r="N699" t="str">
        <f t="shared" si="21"/>
        <v>Q</v>
      </c>
    </row>
    <row r="700" spans="1:14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  <c r="M700">
        <f t="shared" si="20"/>
        <v>49</v>
      </c>
      <c r="N700" t="str">
        <f t="shared" si="21"/>
        <v>C</v>
      </c>
    </row>
    <row r="701" spans="1:14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  <c r="M701">
        <f t="shared" si="20"/>
        <v>42</v>
      </c>
      <c r="N701" t="str">
        <f t="shared" si="21"/>
        <v>S</v>
      </c>
    </row>
    <row r="702" spans="1:14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  <c r="M702">
        <f t="shared" si="20"/>
        <v>18</v>
      </c>
      <c r="N702" t="str">
        <f t="shared" si="21"/>
        <v>C</v>
      </c>
    </row>
    <row r="703" spans="1:14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  <c r="M703">
        <f t="shared" si="20"/>
        <v>35</v>
      </c>
      <c r="N703" t="str">
        <f t="shared" si="21"/>
        <v>S</v>
      </c>
    </row>
    <row r="704" spans="1:14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  <c r="M704">
        <f t="shared" si="20"/>
        <v>18</v>
      </c>
      <c r="N704" t="str">
        <f t="shared" si="21"/>
        <v>C</v>
      </c>
    </row>
    <row r="705" spans="1:14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  <c r="M705">
        <f t="shared" si="20"/>
        <v>25</v>
      </c>
      <c r="N705" t="str">
        <f t="shared" si="21"/>
        <v>Q</v>
      </c>
    </row>
    <row r="706" spans="1:14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  <c r="M706">
        <f t="shared" si="20"/>
        <v>26</v>
      </c>
      <c r="N706" t="str">
        <f t="shared" si="21"/>
        <v>S</v>
      </c>
    </row>
    <row r="707" spans="1:14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  <c r="M707">
        <f t="shared" ref="M707:M770" si="22">IF(F707="", 28, F707)</f>
        <v>39</v>
      </c>
      <c r="N707" t="str">
        <f t="shared" ref="N707:N770" si="23">IF(L707="", "S", L707)</f>
        <v>S</v>
      </c>
    </row>
    <row r="708" spans="1:14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  <c r="M708">
        <f t="shared" si="22"/>
        <v>45</v>
      </c>
      <c r="N708" t="str">
        <f t="shared" si="23"/>
        <v>S</v>
      </c>
    </row>
    <row r="709" spans="1:14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  <c r="M709">
        <f t="shared" si="22"/>
        <v>42</v>
      </c>
      <c r="N709" t="str">
        <f t="shared" si="23"/>
        <v>S</v>
      </c>
    </row>
    <row r="710" spans="1:14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  <c r="M710">
        <f t="shared" si="22"/>
        <v>22</v>
      </c>
      <c r="N710" t="str">
        <f t="shared" si="23"/>
        <v>S</v>
      </c>
    </row>
    <row r="711" spans="1:14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  <c r="M711">
        <f t="shared" si="22"/>
        <v>28</v>
      </c>
      <c r="N711" t="str">
        <f t="shared" si="23"/>
        <v>C</v>
      </c>
    </row>
    <row r="712" spans="1:14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  <c r="M712">
        <f t="shared" si="22"/>
        <v>24</v>
      </c>
      <c r="N712" t="str">
        <f t="shared" si="23"/>
        <v>C</v>
      </c>
    </row>
    <row r="713" spans="1:14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  <c r="M713">
        <f t="shared" si="22"/>
        <v>28</v>
      </c>
      <c r="N713" t="str">
        <f t="shared" si="23"/>
        <v>S</v>
      </c>
    </row>
    <row r="714" spans="1:14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  <c r="M714">
        <f t="shared" si="22"/>
        <v>48</v>
      </c>
      <c r="N714" t="str">
        <f t="shared" si="23"/>
        <v>S</v>
      </c>
    </row>
    <row r="715" spans="1:14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  <c r="M715">
        <f t="shared" si="22"/>
        <v>29</v>
      </c>
      <c r="N715" t="str">
        <f t="shared" si="23"/>
        <v>S</v>
      </c>
    </row>
    <row r="716" spans="1:14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  <c r="M716">
        <f t="shared" si="22"/>
        <v>52</v>
      </c>
      <c r="N716" t="str">
        <f t="shared" si="23"/>
        <v>S</v>
      </c>
    </row>
    <row r="717" spans="1:14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  <c r="M717">
        <f t="shared" si="22"/>
        <v>19</v>
      </c>
      <c r="N717" t="str">
        <f t="shared" si="23"/>
        <v>S</v>
      </c>
    </row>
    <row r="718" spans="1:14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  <c r="M718">
        <f t="shared" si="22"/>
        <v>38</v>
      </c>
      <c r="N718" t="str">
        <f t="shared" si="23"/>
        <v>C</v>
      </c>
    </row>
    <row r="719" spans="1:14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  <c r="M719">
        <f t="shared" si="22"/>
        <v>27</v>
      </c>
      <c r="N719" t="str">
        <f t="shared" si="23"/>
        <v>S</v>
      </c>
    </row>
    <row r="720" spans="1:14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  <c r="M720">
        <f t="shared" si="22"/>
        <v>28</v>
      </c>
      <c r="N720" t="str">
        <f t="shared" si="23"/>
        <v>Q</v>
      </c>
    </row>
    <row r="721" spans="1:14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  <c r="M721">
        <f t="shared" si="22"/>
        <v>33</v>
      </c>
      <c r="N721" t="str">
        <f t="shared" si="23"/>
        <v>S</v>
      </c>
    </row>
    <row r="722" spans="1:14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  <c r="M722">
        <f t="shared" si="22"/>
        <v>6</v>
      </c>
      <c r="N722" t="str">
        <f t="shared" si="23"/>
        <v>S</v>
      </c>
    </row>
    <row r="723" spans="1:14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  <c r="M723">
        <f t="shared" si="22"/>
        <v>17</v>
      </c>
      <c r="N723" t="str">
        <f t="shared" si="23"/>
        <v>S</v>
      </c>
    </row>
    <row r="724" spans="1:14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  <c r="M724">
        <f t="shared" si="22"/>
        <v>34</v>
      </c>
      <c r="N724" t="str">
        <f t="shared" si="23"/>
        <v>S</v>
      </c>
    </row>
    <row r="725" spans="1:14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  <c r="M725">
        <f t="shared" si="22"/>
        <v>50</v>
      </c>
      <c r="N725" t="str">
        <f t="shared" si="23"/>
        <v>S</v>
      </c>
    </row>
    <row r="726" spans="1:14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  <c r="M726">
        <f t="shared" si="22"/>
        <v>27</v>
      </c>
      <c r="N726" t="str">
        <f t="shared" si="23"/>
        <v>S</v>
      </c>
    </row>
    <row r="727" spans="1:14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  <c r="M727">
        <f t="shared" si="22"/>
        <v>20</v>
      </c>
      <c r="N727" t="str">
        <f t="shared" si="23"/>
        <v>S</v>
      </c>
    </row>
    <row r="728" spans="1:14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  <c r="M728">
        <f t="shared" si="22"/>
        <v>30</v>
      </c>
      <c r="N728" t="str">
        <f t="shared" si="23"/>
        <v>S</v>
      </c>
    </row>
    <row r="729" spans="1:14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  <c r="M729">
        <f t="shared" si="22"/>
        <v>28</v>
      </c>
      <c r="N729" t="str">
        <f t="shared" si="23"/>
        <v>Q</v>
      </c>
    </row>
    <row r="730" spans="1:14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  <c r="M730">
        <f t="shared" si="22"/>
        <v>25</v>
      </c>
      <c r="N730" t="str">
        <f t="shared" si="23"/>
        <v>S</v>
      </c>
    </row>
    <row r="731" spans="1:14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  <c r="M731">
        <f t="shared" si="22"/>
        <v>25</v>
      </c>
      <c r="N731" t="str">
        <f t="shared" si="23"/>
        <v>S</v>
      </c>
    </row>
    <row r="732" spans="1:14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  <c r="M732">
        <f t="shared" si="22"/>
        <v>29</v>
      </c>
      <c r="N732" t="str">
        <f t="shared" si="23"/>
        <v>S</v>
      </c>
    </row>
    <row r="733" spans="1:14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  <c r="M733">
        <f t="shared" si="22"/>
        <v>11</v>
      </c>
      <c r="N733" t="str">
        <f t="shared" si="23"/>
        <v>C</v>
      </c>
    </row>
    <row r="734" spans="1:14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  <c r="M734">
        <f t="shared" si="22"/>
        <v>28</v>
      </c>
      <c r="N734" t="str">
        <f t="shared" si="23"/>
        <v>S</v>
      </c>
    </row>
    <row r="735" spans="1:14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  <c r="M735">
        <f t="shared" si="22"/>
        <v>23</v>
      </c>
      <c r="N735" t="str">
        <f t="shared" si="23"/>
        <v>S</v>
      </c>
    </row>
    <row r="736" spans="1:14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  <c r="M736">
        <f t="shared" si="22"/>
        <v>23</v>
      </c>
      <c r="N736" t="str">
        <f t="shared" si="23"/>
        <v>S</v>
      </c>
    </row>
    <row r="737" spans="1:14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  <c r="M737">
        <f t="shared" si="22"/>
        <v>28.5</v>
      </c>
      <c r="N737" t="str">
        <f t="shared" si="23"/>
        <v>S</v>
      </c>
    </row>
    <row r="738" spans="1:14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  <c r="M738">
        <f t="shared" si="22"/>
        <v>48</v>
      </c>
      <c r="N738" t="str">
        <f t="shared" si="23"/>
        <v>S</v>
      </c>
    </row>
    <row r="739" spans="1:14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  <c r="M739">
        <f t="shared" si="22"/>
        <v>35</v>
      </c>
      <c r="N739" t="str">
        <f t="shared" si="23"/>
        <v>C</v>
      </c>
    </row>
    <row r="740" spans="1:14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  <c r="M740">
        <f t="shared" si="22"/>
        <v>28</v>
      </c>
      <c r="N740" t="str">
        <f t="shared" si="23"/>
        <v>S</v>
      </c>
    </row>
    <row r="741" spans="1:14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  <c r="M741">
        <f t="shared" si="22"/>
        <v>28</v>
      </c>
      <c r="N741" t="str">
        <f t="shared" si="23"/>
        <v>S</v>
      </c>
    </row>
    <row r="742" spans="1:14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  <c r="M742">
        <f t="shared" si="22"/>
        <v>28</v>
      </c>
      <c r="N742" t="str">
        <f t="shared" si="23"/>
        <v>S</v>
      </c>
    </row>
    <row r="743" spans="1:14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  <c r="M743">
        <f t="shared" si="22"/>
        <v>36</v>
      </c>
      <c r="N743" t="str">
        <f t="shared" si="23"/>
        <v>S</v>
      </c>
    </row>
    <row r="744" spans="1:14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  <c r="M744">
        <f t="shared" si="22"/>
        <v>21</v>
      </c>
      <c r="N744" t="str">
        <f t="shared" si="23"/>
        <v>C</v>
      </c>
    </row>
    <row r="745" spans="1:14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  <c r="M745">
        <f t="shared" si="22"/>
        <v>24</v>
      </c>
      <c r="N745" t="str">
        <f t="shared" si="23"/>
        <v>S</v>
      </c>
    </row>
    <row r="746" spans="1:14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  <c r="M746">
        <f t="shared" si="22"/>
        <v>31</v>
      </c>
      <c r="N746" t="str">
        <f t="shared" si="23"/>
        <v>S</v>
      </c>
    </row>
    <row r="747" spans="1:14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  <c r="M747">
        <f t="shared" si="22"/>
        <v>70</v>
      </c>
      <c r="N747" t="str">
        <f t="shared" si="23"/>
        <v>S</v>
      </c>
    </row>
    <row r="748" spans="1:14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  <c r="M748">
        <f t="shared" si="22"/>
        <v>16</v>
      </c>
      <c r="N748" t="str">
        <f t="shared" si="23"/>
        <v>S</v>
      </c>
    </row>
    <row r="749" spans="1:14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  <c r="M749">
        <f t="shared" si="22"/>
        <v>30</v>
      </c>
      <c r="N749" t="str">
        <f t="shared" si="23"/>
        <v>S</v>
      </c>
    </row>
    <row r="750" spans="1:14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  <c r="M750">
        <f t="shared" si="22"/>
        <v>19</v>
      </c>
      <c r="N750" t="str">
        <f t="shared" si="23"/>
        <v>S</v>
      </c>
    </row>
    <row r="751" spans="1:14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  <c r="M751">
        <f t="shared" si="22"/>
        <v>31</v>
      </c>
      <c r="N751" t="str">
        <f t="shared" si="23"/>
        <v>Q</v>
      </c>
    </row>
    <row r="752" spans="1:14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  <c r="M752">
        <f t="shared" si="22"/>
        <v>4</v>
      </c>
      <c r="N752" t="str">
        <f t="shared" si="23"/>
        <v>S</v>
      </c>
    </row>
    <row r="753" spans="1:14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  <c r="M753">
        <f t="shared" si="22"/>
        <v>6</v>
      </c>
      <c r="N753" t="str">
        <f t="shared" si="23"/>
        <v>S</v>
      </c>
    </row>
    <row r="754" spans="1:14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  <c r="M754">
        <f t="shared" si="22"/>
        <v>33</v>
      </c>
      <c r="N754" t="str">
        <f t="shared" si="23"/>
        <v>S</v>
      </c>
    </row>
    <row r="755" spans="1:14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  <c r="M755">
        <f t="shared" si="22"/>
        <v>23</v>
      </c>
      <c r="N755" t="str">
        <f t="shared" si="23"/>
        <v>S</v>
      </c>
    </row>
    <row r="756" spans="1:14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  <c r="M756">
        <f t="shared" si="22"/>
        <v>48</v>
      </c>
      <c r="N756" t="str">
        <f t="shared" si="23"/>
        <v>S</v>
      </c>
    </row>
    <row r="757" spans="1:14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  <c r="M757">
        <f t="shared" si="22"/>
        <v>0.67</v>
      </c>
      <c r="N757" t="str">
        <f t="shared" si="23"/>
        <v>S</v>
      </c>
    </row>
    <row r="758" spans="1:14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  <c r="M758">
        <f t="shared" si="22"/>
        <v>28</v>
      </c>
      <c r="N758" t="str">
        <f t="shared" si="23"/>
        <v>S</v>
      </c>
    </row>
    <row r="759" spans="1:14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  <c r="M759">
        <f t="shared" si="22"/>
        <v>18</v>
      </c>
      <c r="N759" t="str">
        <f t="shared" si="23"/>
        <v>S</v>
      </c>
    </row>
    <row r="760" spans="1:14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  <c r="M760">
        <f t="shared" si="22"/>
        <v>34</v>
      </c>
      <c r="N760" t="str">
        <f t="shared" si="23"/>
        <v>S</v>
      </c>
    </row>
    <row r="761" spans="1:14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  <c r="M761">
        <f t="shared" si="22"/>
        <v>33</v>
      </c>
      <c r="N761" t="str">
        <f t="shared" si="23"/>
        <v>S</v>
      </c>
    </row>
    <row r="762" spans="1:14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  <c r="M762">
        <f t="shared" si="22"/>
        <v>28</v>
      </c>
      <c r="N762" t="str">
        <f t="shared" si="23"/>
        <v>S</v>
      </c>
    </row>
    <row r="763" spans="1:14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  <c r="M763">
        <f t="shared" si="22"/>
        <v>41</v>
      </c>
      <c r="N763" t="str">
        <f t="shared" si="23"/>
        <v>S</v>
      </c>
    </row>
    <row r="764" spans="1:14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  <c r="M764">
        <f t="shared" si="22"/>
        <v>20</v>
      </c>
      <c r="N764" t="str">
        <f t="shared" si="23"/>
        <v>C</v>
      </c>
    </row>
    <row r="765" spans="1:14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  <c r="M765">
        <f t="shared" si="22"/>
        <v>36</v>
      </c>
      <c r="N765" t="str">
        <f t="shared" si="23"/>
        <v>S</v>
      </c>
    </row>
    <row r="766" spans="1:14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  <c r="M766">
        <f t="shared" si="22"/>
        <v>16</v>
      </c>
      <c r="N766" t="str">
        <f t="shared" si="23"/>
        <v>S</v>
      </c>
    </row>
    <row r="767" spans="1:14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  <c r="M767">
        <f t="shared" si="22"/>
        <v>51</v>
      </c>
      <c r="N767" t="str">
        <f t="shared" si="23"/>
        <v>S</v>
      </c>
    </row>
    <row r="768" spans="1:14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  <c r="M768">
        <f t="shared" si="22"/>
        <v>28</v>
      </c>
      <c r="N768" t="str">
        <f t="shared" si="23"/>
        <v>C</v>
      </c>
    </row>
    <row r="769" spans="1:14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  <c r="M769">
        <f t="shared" si="22"/>
        <v>30.5</v>
      </c>
      <c r="N769" t="str">
        <f t="shared" si="23"/>
        <v>Q</v>
      </c>
    </row>
    <row r="770" spans="1:14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  <c r="M770">
        <f t="shared" si="22"/>
        <v>28</v>
      </c>
      <c r="N770" t="str">
        <f t="shared" si="23"/>
        <v>Q</v>
      </c>
    </row>
    <row r="771" spans="1:14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  <c r="M771">
        <f t="shared" ref="M771:M834" si="24">IF(F771="", 28, F771)</f>
        <v>32</v>
      </c>
      <c r="N771" t="str">
        <f t="shared" ref="N771:N834" si="25">IF(L771="", "S", L771)</f>
        <v>S</v>
      </c>
    </row>
    <row r="772" spans="1:14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  <c r="M772">
        <f t="shared" si="24"/>
        <v>24</v>
      </c>
      <c r="N772" t="str">
        <f t="shared" si="25"/>
        <v>S</v>
      </c>
    </row>
    <row r="773" spans="1:14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  <c r="M773">
        <f t="shared" si="24"/>
        <v>48</v>
      </c>
      <c r="N773" t="str">
        <f t="shared" si="25"/>
        <v>S</v>
      </c>
    </row>
    <row r="774" spans="1:14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  <c r="M774">
        <f t="shared" si="24"/>
        <v>57</v>
      </c>
      <c r="N774" t="str">
        <f t="shared" si="25"/>
        <v>S</v>
      </c>
    </row>
    <row r="775" spans="1:14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  <c r="M775">
        <f t="shared" si="24"/>
        <v>28</v>
      </c>
      <c r="N775" t="str">
        <f t="shared" si="25"/>
        <v>C</v>
      </c>
    </row>
    <row r="776" spans="1:14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  <c r="M776">
        <f t="shared" si="24"/>
        <v>54</v>
      </c>
      <c r="N776" t="str">
        <f t="shared" si="25"/>
        <v>S</v>
      </c>
    </row>
    <row r="777" spans="1:14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  <c r="M777">
        <f t="shared" si="24"/>
        <v>18</v>
      </c>
      <c r="N777" t="str">
        <f t="shared" si="25"/>
        <v>S</v>
      </c>
    </row>
    <row r="778" spans="1:14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  <c r="M778">
        <f t="shared" si="24"/>
        <v>28</v>
      </c>
      <c r="N778" t="str">
        <f t="shared" si="25"/>
        <v>Q</v>
      </c>
    </row>
    <row r="779" spans="1:14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  <c r="M779">
        <f t="shared" si="24"/>
        <v>5</v>
      </c>
      <c r="N779" t="str">
        <f t="shared" si="25"/>
        <v>S</v>
      </c>
    </row>
    <row r="780" spans="1:14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  <c r="M780">
        <f t="shared" si="24"/>
        <v>28</v>
      </c>
      <c r="N780" t="str">
        <f t="shared" si="25"/>
        <v>Q</v>
      </c>
    </row>
    <row r="781" spans="1:14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  <c r="M781">
        <f t="shared" si="24"/>
        <v>43</v>
      </c>
      <c r="N781" t="str">
        <f t="shared" si="25"/>
        <v>S</v>
      </c>
    </row>
    <row r="782" spans="1:14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  <c r="M782">
        <f t="shared" si="24"/>
        <v>13</v>
      </c>
      <c r="N782" t="str">
        <f t="shared" si="25"/>
        <v>C</v>
      </c>
    </row>
    <row r="783" spans="1:14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  <c r="M783">
        <f t="shared" si="24"/>
        <v>17</v>
      </c>
      <c r="N783" t="str">
        <f t="shared" si="25"/>
        <v>S</v>
      </c>
    </row>
    <row r="784" spans="1:14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  <c r="M784">
        <f t="shared" si="24"/>
        <v>29</v>
      </c>
      <c r="N784" t="str">
        <f t="shared" si="25"/>
        <v>S</v>
      </c>
    </row>
    <row r="785" spans="1:14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  <c r="M785">
        <f t="shared" si="24"/>
        <v>28</v>
      </c>
      <c r="N785" t="str">
        <f t="shared" si="25"/>
        <v>S</v>
      </c>
    </row>
    <row r="786" spans="1:14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  <c r="M786">
        <f t="shared" si="24"/>
        <v>25</v>
      </c>
      <c r="N786" t="str">
        <f t="shared" si="25"/>
        <v>S</v>
      </c>
    </row>
    <row r="787" spans="1:14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  <c r="M787">
        <f t="shared" si="24"/>
        <v>25</v>
      </c>
      <c r="N787" t="str">
        <f t="shared" si="25"/>
        <v>S</v>
      </c>
    </row>
    <row r="788" spans="1:14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  <c r="M788">
        <f t="shared" si="24"/>
        <v>18</v>
      </c>
      <c r="N788" t="str">
        <f t="shared" si="25"/>
        <v>S</v>
      </c>
    </row>
    <row r="789" spans="1:14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  <c r="M789">
        <f t="shared" si="24"/>
        <v>8</v>
      </c>
      <c r="N789" t="str">
        <f t="shared" si="25"/>
        <v>Q</v>
      </c>
    </row>
    <row r="790" spans="1:14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  <c r="M790">
        <f t="shared" si="24"/>
        <v>1</v>
      </c>
      <c r="N790" t="str">
        <f t="shared" si="25"/>
        <v>S</v>
      </c>
    </row>
    <row r="791" spans="1:14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  <c r="M791">
        <f t="shared" si="24"/>
        <v>46</v>
      </c>
      <c r="N791" t="str">
        <f t="shared" si="25"/>
        <v>C</v>
      </c>
    </row>
    <row r="792" spans="1:14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  <c r="M792">
        <f t="shared" si="24"/>
        <v>28</v>
      </c>
      <c r="N792" t="str">
        <f t="shared" si="25"/>
        <v>Q</v>
      </c>
    </row>
    <row r="793" spans="1:14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  <c r="M793">
        <f t="shared" si="24"/>
        <v>16</v>
      </c>
      <c r="N793" t="str">
        <f t="shared" si="25"/>
        <v>S</v>
      </c>
    </row>
    <row r="794" spans="1:14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  <c r="M794">
        <f t="shared" si="24"/>
        <v>28</v>
      </c>
      <c r="N794" t="str">
        <f t="shared" si="25"/>
        <v>S</v>
      </c>
    </row>
    <row r="795" spans="1:14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  <c r="M795">
        <f t="shared" si="24"/>
        <v>28</v>
      </c>
      <c r="N795" t="str">
        <f t="shared" si="25"/>
        <v>C</v>
      </c>
    </row>
    <row r="796" spans="1:14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  <c r="M796">
        <f t="shared" si="24"/>
        <v>25</v>
      </c>
      <c r="N796" t="str">
        <f t="shared" si="25"/>
        <v>S</v>
      </c>
    </row>
    <row r="797" spans="1:14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  <c r="M797">
        <f t="shared" si="24"/>
        <v>39</v>
      </c>
      <c r="N797" t="str">
        <f t="shared" si="25"/>
        <v>S</v>
      </c>
    </row>
    <row r="798" spans="1:14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  <c r="M798">
        <f t="shared" si="24"/>
        <v>49</v>
      </c>
      <c r="N798" t="str">
        <f t="shared" si="25"/>
        <v>S</v>
      </c>
    </row>
    <row r="799" spans="1:14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  <c r="M799">
        <f t="shared" si="24"/>
        <v>31</v>
      </c>
      <c r="N799" t="str">
        <f t="shared" si="25"/>
        <v>S</v>
      </c>
    </row>
    <row r="800" spans="1:14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  <c r="M800">
        <f t="shared" si="24"/>
        <v>30</v>
      </c>
      <c r="N800" t="str">
        <f t="shared" si="25"/>
        <v>C</v>
      </c>
    </row>
    <row r="801" spans="1:14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  <c r="M801">
        <f t="shared" si="24"/>
        <v>30</v>
      </c>
      <c r="N801" t="str">
        <f t="shared" si="25"/>
        <v>S</v>
      </c>
    </row>
    <row r="802" spans="1:14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  <c r="M802">
        <f t="shared" si="24"/>
        <v>34</v>
      </c>
      <c r="N802" t="str">
        <f t="shared" si="25"/>
        <v>S</v>
      </c>
    </row>
    <row r="803" spans="1:14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  <c r="M803">
        <f t="shared" si="24"/>
        <v>31</v>
      </c>
      <c r="N803" t="str">
        <f t="shared" si="25"/>
        <v>S</v>
      </c>
    </row>
    <row r="804" spans="1:14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  <c r="M804">
        <f t="shared" si="24"/>
        <v>11</v>
      </c>
      <c r="N804" t="str">
        <f t="shared" si="25"/>
        <v>S</v>
      </c>
    </row>
    <row r="805" spans="1:14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  <c r="M805">
        <f t="shared" si="24"/>
        <v>0.42</v>
      </c>
      <c r="N805" t="str">
        <f t="shared" si="25"/>
        <v>C</v>
      </c>
    </row>
    <row r="806" spans="1:14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  <c r="M806">
        <f t="shared" si="24"/>
        <v>27</v>
      </c>
      <c r="N806" t="str">
        <f t="shared" si="25"/>
        <v>S</v>
      </c>
    </row>
    <row r="807" spans="1:14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  <c r="M807">
        <f t="shared" si="24"/>
        <v>31</v>
      </c>
      <c r="N807" t="str">
        <f t="shared" si="25"/>
        <v>S</v>
      </c>
    </row>
    <row r="808" spans="1:14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  <c r="M808">
        <f t="shared" si="24"/>
        <v>39</v>
      </c>
      <c r="N808" t="str">
        <f t="shared" si="25"/>
        <v>S</v>
      </c>
    </row>
    <row r="809" spans="1:14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  <c r="M809">
        <f t="shared" si="24"/>
        <v>18</v>
      </c>
      <c r="N809" t="str">
        <f t="shared" si="25"/>
        <v>S</v>
      </c>
    </row>
    <row r="810" spans="1:14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  <c r="M810">
        <f t="shared" si="24"/>
        <v>39</v>
      </c>
      <c r="N810" t="str">
        <f t="shared" si="25"/>
        <v>S</v>
      </c>
    </row>
    <row r="811" spans="1:14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  <c r="M811">
        <f t="shared" si="24"/>
        <v>33</v>
      </c>
      <c r="N811" t="str">
        <f t="shared" si="25"/>
        <v>S</v>
      </c>
    </row>
    <row r="812" spans="1:14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  <c r="M812">
        <f t="shared" si="24"/>
        <v>26</v>
      </c>
      <c r="N812" t="str">
        <f t="shared" si="25"/>
        <v>S</v>
      </c>
    </row>
    <row r="813" spans="1:14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  <c r="M813">
        <f t="shared" si="24"/>
        <v>39</v>
      </c>
      <c r="N813" t="str">
        <f t="shared" si="25"/>
        <v>S</v>
      </c>
    </row>
    <row r="814" spans="1:14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  <c r="M814">
        <f t="shared" si="24"/>
        <v>35</v>
      </c>
      <c r="N814" t="str">
        <f t="shared" si="25"/>
        <v>S</v>
      </c>
    </row>
    <row r="815" spans="1:14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  <c r="M815">
        <f t="shared" si="24"/>
        <v>6</v>
      </c>
      <c r="N815" t="str">
        <f t="shared" si="25"/>
        <v>S</v>
      </c>
    </row>
    <row r="816" spans="1:14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  <c r="M816">
        <f t="shared" si="24"/>
        <v>30.5</v>
      </c>
      <c r="N816" t="str">
        <f t="shared" si="25"/>
        <v>S</v>
      </c>
    </row>
    <row r="817" spans="1:14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  <c r="M817">
        <f t="shared" si="24"/>
        <v>28</v>
      </c>
      <c r="N817" t="str">
        <f t="shared" si="25"/>
        <v>S</v>
      </c>
    </row>
    <row r="818" spans="1:14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  <c r="M818">
        <f t="shared" si="24"/>
        <v>23</v>
      </c>
      <c r="N818" t="str">
        <f t="shared" si="25"/>
        <v>S</v>
      </c>
    </row>
    <row r="819" spans="1:14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  <c r="M819">
        <f t="shared" si="24"/>
        <v>31</v>
      </c>
      <c r="N819" t="str">
        <f t="shared" si="25"/>
        <v>C</v>
      </c>
    </row>
    <row r="820" spans="1:14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  <c r="M820">
        <f t="shared" si="24"/>
        <v>43</v>
      </c>
      <c r="N820" t="str">
        <f t="shared" si="25"/>
        <v>S</v>
      </c>
    </row>
    <row r="821" spans="1:14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  <c r="M821">
        <f t="shared" si="24"/>
        <v>10</v>
      </c>
      <c r="N821" t="str">
        <f t="shared" si="25"/>
        <v>S</v>
      </c>
    </row>
    <row r="822" spans="1:14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  <c r="M822">
        <f t="shared" si="24"/>
        <v>52</v>
      </c>
      <c r="N822" t="str">
        <f t="shared" si="25"/>
        <v>S</v>
      </c>
    </row>
    <row r="823" spans="1:14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  <c r="M823">
        <f t="shared" si="24"/>
        <v>27</v>
      </c>
      <c r="N823" t="str">
        <f t="shared" si="25"/>
        <v>S</v>
      </c>
    </row>
    <row r="824" spans="1:14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  <c r="M824">
        <f t="shared" si="24"/>
        <v>38</v>
      </c>
      <c r="N824" t="str">
        <f t="shared" si="25"/>
        <v>S</v>
      </c>
    </row>
    <row r="825" spans="1:14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  <c r="M825">
        <f t="shared" si="24"/>
        <v>27</v>
      </c>
      <c r="N825" t="str">
        <f t="shared" si="25"/>
        <v>S</v>
      </c>
    </row>
    <row r="826" spans="1:14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  <c r="M826">
        <f t="shared" si="24"/>
        <v>2</v>
      </c>
      <c r="N826" t="str">
        <f t="shared" si="25"/>
        <v>S</v>
      </c>
    </row>
    <row r="827" spans="1:14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  <c r="M827">
        <f t="shared" si="24"/>
        <v>28</v>
      </c>
      <c r="N827" t="str">
        <f t="shared" si="25"/>
        <v>Q</v>
      </c>
    </row>
    <row r="828" spans="1:14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  <c r="M828">
        <f t="shared" si="24"/>
        <v>28</v>
      </c>
      <c r="N828" t="str">
        <f t="shared" si="25"/>
        <v>S</v>
      </c>
    </row>
    <row r="829" spans="1:14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  <c r="M829">
        <f t="shared" si="24"/>
        <v>1</v>
      </c>
      <c r="N829" t="str">
        <f t="shared" si="25"/>
        <v>C</v>
      </c>
    </row>
    <row r="830" spans="1:14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  <c r="M830">
        <f t="shared" si="24"/>
        <v>28</v>
      </c>
      <c r="N830" t="str">
        <f t="shared" si="25"/>
        <v>Q</v>
      </c>
    </row>
    <row r="831" spans="1:14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  <c r="M831">
        <f t="shared" si="24"/>
        <v>62</v>
      </c>
      <c r="N831" t="str">
        <f t="shared" si="25"/>
        <v>S</v>
      </c>
    </row>
    <row r="832" spans="1:14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  <c r="M832">
        <f t="shared" si="24"/>
        <v>15</v>
      </c>
      <c r="N832" t="str">
        <f t="shared" si="25"/>
        <v>C</v>
      </c>
    </row>
    <row r="833" spans="1:14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  <c r="M833">
        <f t="shared" si="24"/>
        <v>0.83</v>
      </c>
      <c r="N833" t="str">
        <f t="shared" si="25"/>
        <v>S</v>
      </c>
    </row>
    <row r="834" spans="1:14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  <c r="M834">
        <f t="shared" si="24"/>
        <v>28</v>
      </c>
      <c r="N834" t="str">
        <f t="shared" si="25"/>
        <v>C</v>
      </c>
    </row>
    <row r="835" spans="1:14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  <c r="M835">
        <f t="shared" ref="M835:M892" si="26">IF(F835="", 28, F835)</f>
        <v>23</v>
      </c>
      <c r="N835" t="str">
        <f t="shared" ref="N835:N892" si="27">IF(L835="", "S", L835)</f>
        <v>S</v>
      </c>
    </row>
    <row r="836" spans="1:14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  <c r="M836">
        <f t="shared" si="26"/>
        <v>18</v>
      </c>
      <c r="N836" t="str">
        <f t="shared" si="27"/>
        <v>S</v>
      </c>
    </row>
    <row r="837" spans="1:14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  <c r="M837">
        <f t="shared" si="26"/>
        <v>39</v>
      </c>
      <c r="N837" t="str">
        <f t="shared" si="27"/>
        <v>C</v>
      </c>
    </row>
    <row r="838" spans="1:14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  <c r="M838">
        <f t="shared" si="26"/>
        <v>21</v>
      </c>
      <c r="N838" t="str">
        <f t="shared" si="27"/>
        <v>S</v>
      </c>
    </row>
    <row r="839" spans="1:14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  <c r="M839">
        <f t="shared" si="26"/>
        <v>28</v>
      </c>
      <c r="N839" t="str">
        <f t="shared" si="27"/>
        <v>S</v>
      </c>
    </row>
    <row r="840" spans="1:14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  <c r="M840">
        <f t="shared" si="26"/>
        <v>32</v>
      </c>
      <c r="N840" t="str">
        <f t="shared" si="27"/>
        <v>S</v>
      </c>
    </row>
    <row r="841" spans="1:14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  <c r="M841">
        <f t="shared" si="26"/>
        <v>28</v>
      </c>
      <c r="N841" t="str">
        <f t="shared" si="27"/>
        <v>C</v>
      </c>
    </row>
    <row r="842" spans="1:14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  <c r="M842">
        <f t="shared" si="26"/>
        <v>20</v>
      </c>
      <c r="N842" t="str">
        <f t="shared" si="27"/>
        <v>S</v>
      </c>
    </row>
    <row r="843" spans="1:14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  <c r="M843">
        <f t="shared" si="26"/>
        <v>16</v>
      </c>
      <c r="N843" t="str">
        <f t="shared" si="27"/>
        <v>S</v>
      </c>
    </row>
    <row r="844" spans="1:14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  <c r="M844">
        <f t="shared" si="26"/>
        <v>30</v>
      </c>
      <c r="N844" t="str">
        <f t="shared" si="27"/>
        <v>C</v>
      </c>
    </row>
    <row r="845" spans="1:14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  <c r="M845">
        <f t="shared" si="26"/>
        <v>34.5</v>
      </c>
      <c r="N845" t="str">
        <f t="shared" si="27"/>
        <v>C</v>
      </c>
    </row>
    <row r="846" spans="1:14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  <c r="M846">
        <f t="shared" si="26"/>
        <v>17</v>
      </c>
      <c r="N846" t="str">
        <f t="shared" si="27"/>
        <v>S</v>
      </c>
    </row>
    <row r="847" spans="1:14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  <c r="M847">
        <f t="shared" si="26"/>
        <v>42</v>
      </c>
      <c r="N847" t="str">
        <f t="shared" si="27"/>
        <v>S</v>
      </c>
    </row>
    <row r="848" spans="1:14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  <c r="M848">
        <f t="shared" si="26"/>
        <v>28</v>
      </c>
      <c r="N848" t="str">
        <f t="shared" si="27"/>
        <v>S</v>
      </c>
    </row>
    <row r="849" spans="1:14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  <c r="M849">
        <f t="shared" si="26"/>
        <v>35</v>
      </c>
      <c r="N849" t="str">
        <f t="shared" si="27"/>
        <v>C</v>
      </c>
    </row>
    <row r="850" spans="1:14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  <c r="M850">
        <f t="shared" si="26"/>
        <v>28</v>
      </c>
      <c r="N850" t="str">
        <f t="shared" si="27"/>
        <v>S</v>
      </c>
    </row>
    <row r="851" spans="1:14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  <c r="M851">
        <f t="shared" si="26"/>
        <v>28</v>
      </c>
      <c r="N851" t="str">
        <f t="shared" si="27"/>
        <v>C</v>
      </c>
    </row>
    <row r="852" spans="1:14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  <c r="M852">
        <f t="shared" si="26"/>
        <v>4</v>
      </c>
      <c r="N852" t="str">
        <f t="shared" si="27"/>
        <v>S</v>
      </c>
    </row>
    <row r="853" spans="1:14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  <c r="M853">
        <f t="shared" si="26"/>
        <v>74</v>
      </c>
      <c r="N853" t="str">
        <f t="shared" si="27"/>
        <v>S</v>
      </c>
    </row>
    <row r="854" spans="1:14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  <c r="M854">
        <f t="shared" si="26"/>
        <v>9</v>
      </c>
      <c r="N854" t="str">
        <f t="shared" si="27"/>
        <v>C</v>
      </c>
    </row>
    <row r="855" spans="1:14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  <c r="M855">
        <f t="shared" si="26"/>
        <v>16</v>
      </c>
      <c r="N855" t="str">
        <f t="shared" si="27"/>
        <v>S</v>
      </c>
    </row>
    <row r="856" spans="1:14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  <c r="M856">
        <f t="shared" si="26"/>
        <v>44</v>
      </c>
      <c r="N856" t="str">
        <f t="shared" si="27"/>
        <v>S</v>
      </c>
    </row>
    <row r="857" spans="1:14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  <c r="M857">
        <f t="shared" si="26"/>
        <v>18</v>
      </c>
      <c r="N857" t="str">
        <f t="shared" si="27"/>
        <v>S</v>
      </c>
    </row>
    <row r="858" spans="1:14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  <c r="M858">
        <f t="shared" si="26"/>
        <v>45</v>
      </c>
      <c r="N858" t="str">
        <f t="shared" si="27"/>
        <v>S</v>
      </c>
    </row>
    <row r="859" spans="1:14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  <c r="M859">
        <f t="shared" si="26"/>
        <v>51</v>
      </c>
      <c r="N859" t="str">
        <f t="shared" si="27"/>
        <v>S</v>
      </c>
    </row>
    <row r="860" spans="1:14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  <c r="M860">
        <f t="shared" si="26"/>
        <v>24</v>
      </c>
      <c r="N860" t="str">
        <f t="shared" si="27"/>
        <v>C</v>
      </c>
    </row>
    <row r="861" spans="1:14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  <c r="M861">
        <f t="shared" si="26"/>
        <v>28</v>
      </c>
      <c r="N861" t="str">
        <f t="shared" si="27"/>
        <v>C</v>
      </c>
    </row>
    <row r="862" spans="1:14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  <c r="M862">
        <f t="shared" si="26"/>
        <v>41</v>
      </c>
      <c r="N862" t="str">
        <f t="shared" si="27"/>
        <v>S</v>
      </c>
    </row>
    <row r="863" spans="1:14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  <c r="M863">
        <f t="shared" si="26"/>
        <v>21</v>
      </c>
      <c r="N863" t="str">
        <f t="shared" si="27"/>
        <v>S</v>
      </c>
    </row>
    <row r="864" spans="1:14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  <c r="M864">
        <f t="shared" si="26"/>
        <v>48</v>
      </c>
      <c r="N864" t="str">
        <f t="shared" si="27"/>
        <v>S</v>
      </c>
    </row>
    <row r="865" spans="1:14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  <c r="M865">
        <f t="shared" si="26"/>
        <v>28</v>
      </c>
      <c r="N865" t="str">
        <f t="shared" si="27"/>
        <v>S</v>
      </c>
    </row>
    <row r="866" spans="1:14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  <c r="M866">
        <f t="shared" si="26"/>
        <v>24</v>
      </c>
      <c r="N866" t="str">
        <f t="shared" si="27"/>
        <v>S</v>
      </c>
    </row>
    <row r="867" spans="1:14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  <c r="M867">
        <f t="shared" si="26"/>
        <v>42</v>
      </c>
      <c r="N867" t="str">
        <f t="shared" si="27"/>
        <v>S</v>
      </c>
    </row>
    <row r="868" spans="1:14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  <c r="M868">
        <f t="shared" si="26"/>
        <v>27</v>
      </c>
      <c r="N868" t="str">
        <f t="shared" si="27"/>
        <v>C</v>
      </c>
    </row>
    <row r="869" spans="1:14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  <c r="M869">
        <f t="shared" si="26"/>
        <v>31</v>
      </c>
      <c r="N869" t="str">
        <f t="shared" si="27"/>
        <v>S</v>
      </c>
    </row>
    <row r="870" spans="1:14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  <c r="M870">
        <f t="shared" si="26"/>
        <v>28</v>
      </c>
      <c r="N870" t="str">
        <f t="shared" si="27"/>
        <v>S</v>
      </c>
    </row>
    <row r="871" spans="1:14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  <c r="M871">
        <f t="shared" si="26"/>
        <v>4</v>
      </c>
      <c r="N871" t="str">
        <f t="shared" si="27"/>
        <v>S</v>
      </c>
    </row>
    <row r="872" spans="1:14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  <c r="M872">
        <f t="shared" si="26"/>
        <v>26</v>
      </c>
      <c r="N872" t="str">
        <f t="shared" si="27"/>
        <v>S</v>
      </c>
    </row>
    <row r="873" spans="1:14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  <c r="M873">
        <f t="shared" si="26"/>
        <v>47</v>
      </c>
      <c r="N873" t="str">
        <f t="shared" si="27"/>
        <v>S</v>
      </c>
    </row>
    <row r="874" spans="1:14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  <c r="M874">
        <f t="shared" si="26"/>
        <v>33</v>
      </c>
      <c r="N874" t="str">
        <f t="shared" si="27"/>
        <v>S</v>
      </c>
    </row>
    <row r="875" spans="1:14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  <c r="M875">
        <f t="shared" si="26"/>
        <v>47</v>
      </c>
      <c r="N875" t="str">
        <f t="shared" si="27"/>
        <v>S</v>
      </c>
    </row>
    <row r="876" spans="1:14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  <c r="M876">
        <f t="shared" si="26"/>
        <v>28</v>
      </c>
      <c r="N876" t="str">
        <f t="shared" si="27"/>
        <v>C</v>
      </c>
    </row>
    <row r="877" spans="1:14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  <c r="M877">
        <f t="shared" si="26"/>
        <v>15</v>
      </c>
      <c r="N877" t="str">
        <f t="shared" si="27"/>
        <v>C</v>
      </c>
    </row>
    <row r="878" spans="1:14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  <c r="M878">
        <f t="shared" si="26"/>
        <v>20</v>
      </c>
      <c r="N878" t="str">
        <f t="shared" si="27"/>
        <v>S</v>
      </c>
    </row>
    <row r="879" spans="1:14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  <c r="M879">
        <f t="shared" si="26"/>
        <v>19</v>
      </c>
      <c r="N879" t="str">
        <f t="shared" si="27"/>
        <v>S</v>
      </c>
    </row>
    <row r="880" spans="1:14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  <c r="M880">
        <f t="shared" si="26"/>
        <v>28</v>
      </c>
      <c r="N880" t="str">
        <f t="shared" si="27"/>
        <v>S</v>
      </c>
    </row>
    <row r="881" spans="1:14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  <c r="M881">
        <f t="shared" si="26"/>
        <v>56</v>
      </c>
      <c r="N881" t="str">
        <f t="shared" si="27"/>
        <v>C</v>
      </c>
    </row>
    <row r="882" spans="1:14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  <c r="M882">
        <f t="shared" si="26"/>
        <v>25</v>
      </c>
      <c r="N882" t="str">
        <f t="shared" si="27"/>
        <v>S</v>
      </c>
    </row>
    <row r="883" spans="1:14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  <c r="M883">
        <f t="shared" si="26"/>
        <v>33</v>
      </c>
      <c r="N883" t="str">
        <f t="shared" si="27"/>
        <v>S</v>
      </c>
    </row>
    <row r="884" spans="1:14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  <c r="M884">
        <f t="shared" si="26"/>
        <v>22</v>
      </c>
      <c r="N884" t="str">
        <f t="shared" si="27"/>
        <v>S</v>
      </c>
    </row>
    <row r="885" spans="1:14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  <c r="M885">
        <f t="shared" si="26"/>
        <v>28</v>
      </c>
      <c r="N885" t="str">
        <f t="shared" si="27"/>
        <v>S</v>
      </c>
    </row>
    <row r="886" spans="1:14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  <c r="M886">
        <f t="shared" si="26"/>
        <v>25</v>
      </c>
      <c r="N886" t="str">
        <f t="shared" si="27"/>
        <v>S</v>
      </c>
    </row>
    <row r="887" spans="1:14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  <c r="M887">
        <f t="shared" si="26"/>
        <v>39</v>
      </c>
      <c r="N887" t="str">
        <f t="shared" si="27"/>
        <v>Q</v>
      </c>
    </row>
    <row r="888" spans="1:14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  <c r="M888">
        <f t="shared" si="26"/>
        <v>27</v>
      </c>
      <c r="N888" t="str">
        <f t="shared" si="27"/>
        <v>S</v>
      </c>
    </row>
    <row r="889" spans="1:14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  <c r="M889">
        <f t="shared" si="26"/>
        <v>19</v>
      </c>
      <c r="N889" t="str">
        <f t="shared" si="27"/>
        <v>S</v>
      </c>
    </row>
    <row r="890" spans="1:14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  <c r="M890">
        <f t="shared" si="26"/>
        <v>28</v>
      </c>
      <c r="N890" t="str">
        <f t="shared" si="27"/>
        <v>S</v>
      </c>
    </row>
    <row r="891" spans="1:14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  <c r="M891">
        <f t="shared" si="26"/>
        <v>26</v>
      </c>
      <c r="N891" t="str">
        <f t="shared" si="27"/>
        <v>C</v>
      </c>
    </row>
    <row r="892" spans="1:14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  <c r="M892">
        <f t="shared" si="26"/>
        <v>32</v>
      </c>
      <c r="N892" t="str">
        <f t="shared" si="27"/>
        <v>Q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518E-96DD-4803-9CE6-7EE43D4D3610}">
  <dimension ref="A1:R32"/>
  <sheetViews>
    <sheetView workbookViewId="0">
      <selection sqref="A1:R3"/>
    </sheetView>
  </sheetViews>
  <sheetFormatPr defaultRowHeight="15"/>
  <cols>
    <col min="1" max="1" width="11.5703125" customWidth="1"/>
    <col min="2" max="2" width="9.28515625" customWidth="1"/>
    <col min="3" max="3" width="10" customWidth="1"/>
    <col min="4" max="4" width="10.42578125" customWidth="1"/>
    <col min="5" max="5" width="8.5703125" customWidth="1"/>
    <col min="6" max="6" width="12.28515625" customWidth="1"/>
    <col min="7" max="7" width="10.28515625" customWidth="1"/>
    <col min="8" max="8" width="11.5703125" customWidth="1"/>
    <col min="9" max="9" width="10.140625" customWidth="1"/>
    <col min="10" max="10" width="9.28515625" customWidth="1"/>
    <col min="12" max="12" width="11.28515625" customWidth="1"/>
  </cols>
  <sheetData>
    <row r="1" spans="1:18" ht="15" customHeight="1">
      <c r="A1" s="8" t="s">
        <v>1240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>
      <c r="A4" s="9" t="s">
        <v>1241</v>
      </c>
      <c r="B4" s="10"/>
      <c r="D4" s="11" t="s">
        <v>1242</v>
      </c>
      <c r="E4" s="12"/>
      <c r="G4" s="11" t="s">
        <v>1243</v>
      </c>
      <c r="H4" s="12"/>
      <c r="J4" s="11" t="s">
        <v>1244</v>
      </c>
      <c r="K4" s="12"/>
      <c r="M4" s="11" t="s">
        <v>1245</v>
      </c>
      <c r="N4" s="12"/>
      <c r="Q4" s="11" t="s">
        <v>1246</v>
      </c>
      <c r="R4" s="12"/>
    </row>
    <row r="5" spans="1:18">
      <c r="A5" s="13"/>
      <c r="B5" s="14"/>
      <c r="D5" s="15"/>
      <c r="E5" s="16"/>
      <c r="G5" s="15"/>
      <c r="H5" s="16"/>
      <c r="J5" s="15"/>
      <c r="K5" s="16"/>
      <c r="M5" s="15"/>
      <c r="N5" s="16"/>
      <c r="Q5" s="15"/>
      <c r="R5" s="16"/>
    </row>
    <row r="6" spans="1:18">
      <c r="A6" s="17"/>
      <c r="B6" s="18"/>
      <c r="D6" s="19"/>
      <c r="E6" s="20"/>
      <c r="G6" s="19"/>
      <c r="H6" s="20"/>
      <c r="J6" s="19"/>
      <c r="K6" s="20"/>
      <c r="M6" s="19"/>
      <c r="N6" s="20"/>
      <c r="Q6" s="19"/>
      <c r="R6" s="20"/>
    </row>
    <row r="8" spans="1:18">
      <c r="D8" s="21"/>
    </row>
    <row r="22" spans="1:5" ht="15.75">
      <c r="A22" s="26" t="s">
        <v>1247</v>
      </c>
      <c r="B22" s="26"/>
    </row>
    <row r="23" spans="1:5">
      <c r="A23" t="s">
        <v>1248</v>
      </c>
    </row>
    <row r="24" spans="1:5">
      <c r="A24" s="22" t="s">
        <v>1249</v>
      </c>
      <c r="B24" s="22"/>
      <c r="C24" s="22"/>
    </row>
    <row r="25" spans="1:5">
      <c r="A25" s="23" t="s">
        <v>1250</v>
      </c>
      <c r="B25" s="23"/>
      <c r="C25" s="23"/>
      <c r="D25" s="23"/>
    </row>
    <row r="26" spans="1:5">
      <c r="A26" s="23" t="s">
        <v>1251</v>
      </c>
      <c r="B26" s="23"/>
      <c r="C26" s="23"/>
      <c r="D26" s="23"/>
    </row>
    <row r="27" spans="1:5">
      <c r="A27" s="23" t="s">
        <v>1252</v>
      </c>
      <c r="B27" s="23"/>
      <c r="C27" s="23"/>
      <c r="D27" s="23"/>
      <c r="E27" s="23"/>
    </row>
    <row r="29" spans="1:5">
      <c r="A29" s="25" t="s">
        <v>1253</v>
      </c>
    </row>
    <row r="30" spans="1:5">
      <c r="A30" s="23" t="s">
        <v>1254</v>
      </c>
      <c r="B30" s="23"/>
      <c r="C30" s="23"/>
      <c r="D30" s="23"/>
      <c r="E30" s="23"/>
    </row>
    <row r="32" spans="1:5">
      <c r="A32" s="24" t="s">
        <v>1255</v>
      </c>
      <c r="B32" s="24"/>
      <c r="C32" s="24"/>
      <c r="D32" s="24"/>
    </row>
  </sheetData>
  <mergeCells count="14">
    <mergeCell ref="A32:D32"/>
    <mergeCell ref="A22:B22"/>
    <mergeCell ref="A24:C24"/>
    <mergeCell ref="A25:D25"/>
    <mergeCell ref="A26:D26"/>
    <mergeCell ref="A27:E27"/>
    <mergeCell ref="A30:E30"/>
    <mergeCell ref="A1:R3"/>
    <mergeCell ref="A4:B6"/>
    <mergeCell ref="D4:E6"/>
    <mergeCell ref="G4:H6"/>
    <mergeCell ref="J4:K6"/>
    <mergeCell ref="M4:N6"/>
    <mergeCell ref="Q4:R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Titanic_Analysis.xlsx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Mohsen</dc:creator>
  <cp:lastModifiedBy>mohamed mohsen</cp:lastModifiedBy>
  <dcterms:created xsi:type="dcterms:W3CDTF">2026-07-24T10:51:04Z</dcterms:created>
  <dcterms:modified xsi:type="dcterms:W3CDTF">2026-07-24T14:45:40Z</dcterms:modified>
</cp:coreProperties>
</file>